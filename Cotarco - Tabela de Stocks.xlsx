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o charata\Downloads\"/>
    </mc:Choice>
  </mc:AlternateContent>
  <xr:revisionPtr revIDLastSave="0" documentId="13_ncr:1_{890CCAAA-F699-488A-B48A-B36AEAFDA634}" xr6:coauthVersionLast="47" xr6:coauthVersionMax="47" xr10:uidLastSave="{00000000-0000-0000-0000-000000000000}"/>
  <bookViews>
    <workbookView xWindow="-120" yWindow="-120" windowWidth="29040" windowHeight="15720" xr2:uid="{C8627028-FDB7-427C-850F-BE47C111D8C9}"/>
  </bookViews>
  <sheets>
    <sheet name="Folha1" sheetId="1" r:id="rId1"/>
  </sheets>
  <definedNames>
    <definedName name="_xlnm._FilterDatabase" localSheetId="0" hidden="1">Folha1!$A$8:$H$137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1" i="1" l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</calcChain>
</file>

<file path=xl/sharedStrings.xml><?xml version="1.0" encoding="utf-8"?>
<sst xmlns="http://schemas.openxmlformats.org/spreadsheetml/2006/main" count="540" uniqueCount="416">
  <si>
    <t>Referencia</t>
  </si>
  <si>
    <t>Designacao</t>
  </si>
  <si>
    <t>FAMILIA</t>
  </si>
  <si>
    <t>QTD Total</t>
  </si>
  <si>
    <t>Preço</t>
  </si>
  <si>
    <t>IVA</t>
  </si>
  <si>
    <t>C/IVA</t>
  </si>
  <si>
    <t>EAN</t>
  </si>
  <si>
    <t>RF24R7201SR/EU</t>
  </si>
  <si>
    <t xml:space="preserve">FRIGORÍFICO FRENCH DOOR SAMSUNG (636L - INOX)               </t>
  </si>
  <si>
    <t>Frigorificos</t>
  </si>
  <si>
    <t>RF29BB8600MTFA</t>
  </si>
  <si>
    <t xml:space="preserve">FRIGORÍFICO PREMIUM 4 PORTAS SAMSUNG (630L - PRETO) WIFI    </t>
  </si>
  <si>
    <t>RF48A4000B4/ME</t>
  </si>
  <si>
    <t xml:space="preserve">FRIGORÍFICO FRENCH DOOR SAMSUNG (511L - Preto)              </t>
  </si>
  <si>
    <t>8801643762407</t>
  </si>
  <si>
    <t>8806094050547</t>
  </si>
  <si>
    <t>8806090877841</t>
  </si>
  <si>
    <t>RF71A967532/UT</t>
  </si>
  <si>
    <t xml:space="preserve">FRIGORÍFICO PREMIUM 4 PORTAS SAMSUNG (820L - ROSA)          </t>
  </si>
  <si>
    <t>8806092113299</t>
  </si>
  <si>
    <t>RF71DB975012FA</t>
  </si>
  <si>
    <t xml:space="preserve">FRIGORÍFICO PREMIUM 4 PORTAS SAMSUNG (704L - BRANCO&amp;PRETO)  </t>
  </si>
  <si>
    <t>8806095424149</t>
  </si>
  <si>
    <t>RS65R5691M9</t>
  </si>
  <si>
    <t xml:space="preserve">FRIGORÍFICO SIDE BY SIDE SAMSUNG (602L - CINZENTA)          </t>
  </si>
  <si>
    <t>8801643778408</t>
  </si>
  <si>
    <t>QA43LS01DAKXXA</t>
  </si>
  <si>
    <t xml:space="preserve">TV SAMSUNG 43" The Serif - LS01D                            </t>
  </si>
  <si>
    <t>Televisoes</t>
  </si>
  <si>
    <t>QA55LS01DAKXXA</t>
  </si>
  <si>
    <t xml:space="preserve">TV SAMSUNG 55" The Serif - LS01D                            </t>
  </si>
  <si>
    <t>8806095568683</t>
  </si>
  <si>
    <t>8806094293753</t>
  </si>
  <si>
    <t>QA65LS03DAUXLY</t>
  </si>
  <si>
    <t xml:space="preserve">TV SAMSUNG 65" THE FRAME - QLED 4K 2024 EG                  </t>
  </si>
  <si>
    <t>8806095504544</t>
  </si>
  <si>
    <t>QA65Q7FAAUXLY</t>
  </si>
  <si>
    <t xml:space="preserve">TV SAMSUNG 65" QLED 4K FLAT - Q7F EG                        </t>
  </si>
  <si>
    <t>8806097632429</t>
  </si>
  <si>
    <t>QA65S90DAUXLY</t>
  </si>
  <si>
    <t xml:space="preserve">TV SAMSUNG 65" OLED 4K 2024 EG                              </t>
  </si>
  <si>
    <t>8806095504582</t>
  </si>
  <si>
    <t>QA75Q7FAAUXLY</t>
  </si>
  <si>
    <t xml:space="preserve">TV SAMSUNG 75" QLED 4K FLAT - Q7F EG                        </t>
  </si>
  <si>
    <t>8806097194101</t>
  </si>
  <si>
    <t>QA85Q60DAUXLY</t>
  </si>
  <si>
    <t xml:space="preserve">TV SAMSUNG 85" QLED 4K FLAT - Q60D (2024) EG                </t>
  </si>
  <si>
    <t>8806095493794</t>
  </si>
  <si>
    <t>SP-LFF3CLAXXXA</t>
  </si>
  <si>
    <t xml:space="preserve">PROJECTOR SAMSUNG SMART THE FREESTYLE 100" GEN2             </t>
  </si>
  <si>
    <t>8806094953268</t>
  </si>
  <si>
    <t>UA32H5000FUXLY</t>
  </si>
  <si>
    <t xml:space="preserve">TV SAMSUNG 32" FHD - 32H5000 Smart TV EG                    </t>
  </si>
  <si>
    <t>UA32N5000AUXLY</t>
  </si>
  <si>
    <t xml:space="preserve">TV SAMSUNG 32" FHD - 32N5000                                </t>
  </si>
  <si>
    <t>8806097016502</t>
  </si>
  <si>
    <t>8801643265687</t>
  </si>
  <si>
    <t>UA43U8000FUXLY</t>
  </si>
  <si>
    <t xml:space="preserve">TV SAMSUNG 43" UHD 4K FLAT SMART TV - U8000 (2025) EG       </t>
  </si>
  <si>
    <t>8806097191957</t>
  </si>
  <si>
    <t>UA50U8000FUXLY</t>
  </si>
  <si>
    <t xml:space="preserve">TV SAMSUNG 50" UHD 4K FLAT SMART TV - U8000 (2025) EG       </t>
  </si>
  <si>
    <t>8806097191995</t>
  </si>
  <si>
    <t>UA55U8000FUXLY</t>
  </si>
  <si>
    <t xml:space="preserve">TV SAMSUNG 55" UHD 4K FLAT SMART TV - U8000 (2025) EG       </t>
  </si>
  <si>
    <t>8806097192039</t>
  </si>
  <si>
    <t>UA65U8000FUXKE</t>
  </si>
  <si>
    <t>TV SAMSUNG 65" Crystal  UHD 4K FLAT SMART TV U8000 (2025) EG</t>
  </si>
  <si>
    <t>8806097198826</t>
  </si>
  <si>
    <t>UA75U8000FUXLY</t>
  </si>
  <si>
    <t xml:space="preserve">TV SAMSUNG 75" UHD 4K FLAT SMART TV - U8000 (2025) EG       </t>
  </si>
  <si>
    <t>8806097198895</t>
  </si>
  <si>
    <t>UA85DU7000UXLY</t>
  </si>
  <si>
    <t xml:space="preserve">TV SAMSUNG 85" UHD 4K FLAT SMART TV - DU7000 (2024) EG      </t>
  </si>
  <si>
    <t>UA85DU8000UXLY</t>
  </si>
  <si>
    <t xml:space="preserve">TV SAMSUNG 85" CRYSTAL UHD 4K FLAT SMART TV - DU8000 (2024) </t>
  </si>
  <si>
    <t>UA98DU9000UXKE</t>
  </si>
  <si>
    <t xml:space="preserve">TV SAMSUNG 98" UHD 4K FLAT SMART TV - DU7000 (2025) EG      </t>
  </si>
  <si>
    <t>DW60M5050FS</t>
  </si>
  <si>
    <t xml:space="preserve">MAQUINA LAVAR LOIÇA SAMSUNG 13 CONJ CINZA                   </t>
  </si>
  <si>
    <t>Maquinas de Lavar</t>
  </si>
  <si>
    <t>8806095493862</t>
  </si>
  <si>
    <t>8806095504834</t>
  </si>
  <si>
    <t>8806095597669</t>
  </si>
  <si>
    <t>8801643479589</t>
  </si>
  <si>
    <t>WA90F5S2UWW</t>
  </si>
  <si>
    <t xml:space="preserve">MAQUINA DE LAVAR ROUPA TOP LOADER SAMSUNG (9KG - CINZENTA)  </t>
  </si>
  <si>
    <t>8806085534698</t>
  </si>
  <si>
    <t>WD18DB8995BZFA</t>
  </si>
  <si>
    <t xml:space="preserve">MAQUINA DE LAVAR/SECAR ROUPA SAMSUNG (18/11KG) AI COMBO     </t>
  </si>
  <si>
    <t>8806095800196</t>
  </si>
  <si>
    <t>WW60J3280HS</t>
  </si>
  <si>
    <t xml:space="preserve">MAQUINA DE LAVAR ROUPA SAMSUNG (6KG - CINZENTA)             </t>
  </si>
  <si>
    <t>8806086809955</t>
  </si>
  <si>
    <t>WW70T4020CX/NQ</t>
  </si>
  <si>
    <t xml:space="preserve">MAQ DE LAVAR ROUPA FL SAMSUNG (7KG - Inox)                  </t>
  </si>
  <si>
    <t>8806092079731</t>
  </si>
  <si>
    <t>WW80T554DAN/NQ</t>
  </si>
  <si>
    <t>MAQ DE LAVAR ROUPA FL SAMSUNG AI CONTROL+ADDWASH (8KG - Inox</t>
  </si>
  <si>
    <t>WW90T554DAN/NQ</t>
  </si>
  <si>
    <t xml:space="preserve">MAQ DE LAVAR ROUPA FL SAMSUNG AI CONTROL+ADDWASH (9KG-Inox) </t>
  </si>
  <si>
    <t>8806092079755</t>
  </si>
  <si>
    <t>8806092079762</t>
  </si>
  <si>
    <t>Telemoveis</t>
  </si>
  <si>
    <t>SM-A065FZKDAFA</t>
  </si>
  <si>
    <t xml:space="preserve">Galaxy A06 DS 4+ 64GB PRETO                                 </t>
  </si>
  <si>
    <t>8806095747903</t>
  </si>
  <si>
    <t>SM-A165FZKDAFA</t>
  </si>
  <si>
    <t xml:space="preserve">Galaxy A16 LTE DS 4+128GB PRETO                             </t>
  </si>
  <si>
    <t>8806095818665</t>
  </si>
  <si>
    <t>SM-A256EZKDAFA</t>
  </si>
  <si>
    <t xml:space="preserve">Galaxy A25 5G DS 6+128GB PRETO                              </t>
  </si>
  <si>
    <t>8806095164496</t>
  </si>
  <si>
    <t>SM-A366BZKPAFA</t>
  </si>
  <si>
    <t xml:space="preserve">Galaxy A36 5G DS 6+128GB PRETO                              </t>
  </si>
  <si>
    <t>8806097080473</t>
  </si>
  <si>
    <t>SM-A566BZKWAFA</t>
  </si>
  <si>
    <t xml:space="preserve">Galaxy A56 5G DS 8+256GB PRETO                              </t>
  </si>
  <si>
    <t>8806097054139</t>
  </si>
  <si>
    <t>SM-F956BDBGAFA</t>
  </si>
  <si>
    <t xml:space="preserve">Galaxy Z Fold 6 5G DS 12+512GB AZUL ESCURO                  </t>
  </si>
  <si>
    <t>SM-F956BLIDAFA</t>
  </si>
  <si>
    <t xml:space="preserve">Galaxy Z Fold 6 5G DS 12+256GB ROSA                         </t>
  </si>
  <si>
    <t>SM-F956BZSGAFA</t>
  </si>
  <si>
    <t xml:space="preserve">Galaxy Z Fold 6 5G DS 12+512GB CINZA                        </t>
  </si>
  <si>
    <t>8806095629216</t>
  </si>
  <si>
    <t>8806095628905</t>
  </si>
  <si>
    <t>8806095664637</t>
  </si>
  <si>
    <t>SM-S931BLBOAFA</t>
  </si>
  <si>
    <t xml:space="preserve">Galaxy S25 DS 12+256GB AZUL Claro                           </t>
  </si>
  <si>
    <t>8806095847726</t>
  </si>
  <si>
    <t>SM-S938BZTOAFA</t>
  </si>
  <si>
    <t xml:space="preserve">Galaxy S25 Ultra 5G DS 12+512GB CINZA TITANIO               </t>
  </si>
  <si>
    <t>8806095994970</t>
  </si>
  <si>
    <t>SM-X115NZSAAFA</t>
  </si>
  <si>
    <t xml:space="preserve">Galaxy Tablet A9 4+64 4G+WIFI Cinza                         </t>
  </si>
  <si>
    <t>8806095275628</t>
  </si>
  <si>
    <t>Aspiradores</t>
  </si>
  <si>
    <t>VS20T7532T1/EU</t>
  </si>
  <si>
    <t xml:space="preserve">Aspirador Vertical Samsung Jet 75 PET 550 W                 </t>
  </si>
  <si>
    <t>VS60K6050KW/ET</t>
  </si>
  <si>
    <t xml:space="preserve">ASPIRADOR SAMSUNG VERTICAL 0,25 L 170 W                     </t>
  </si>
  <si>
    <t>Eq. Som</t>
  </si>
  <si>
    <t>HW-B750F/XA</t>
  </si>
  <si>
    <t xml:space="preserve">SOUNDBAR SAMSUNG 5.1 2CH 400W C/SUBWOOFER DTS ATMOS 2025    </t>
  </si>
  <si>
    <t>8806090393778</t>
  </si>
  <si>
    <t>8806088528069</t>
  </si>
  <si>
    <t>8806097084280</t>
  </si>
  <si>
    <t>HW-Q990F/XA</t>
  </si>
  <si>
    <t xml:space="preserve">SOUNDBAR SAMSUNG 11.1 4CH 756W C/SUBWOOFER DTS ATMOS 2025   </t>
  </si>
  <si>
    <t>HW-S800D/XA</t>
  </si>
  <si>
    <t xml:space="preserve">SOUNDBAR SAMSUNG 3.1 2CH 330W C/SUBWOOFER DTS ATMOS 2025    </t>
  </si>
  <si>
    <t>HW-T400</t>
  </si>
  <si>
    <t xml:space="preserve">SOUNDBAR SAMSUNG 2.0CH 40W DOLBY AUDIO                      </t>
  </si>
  <si>
    <t>8806097066217</t>
  </si>
  <si>
    <t>8806095486352</t>
  </si>
  <si>
    <t>8806090485114</t>
  </si>
  <si>
    <t>MX-ST40B</t>
  </si>
  <si>
    <t xml:space="preserve">SOUND TOWER SAMSUNG 160W C/BATERIA 12H                      </t>
  </si>
  <si>
    <t>MX-ST50B</t>
  </si>
  <si>
    <t xml:space="preserve">SOUND TOWER SAMSUNG 240W C/BATERIA 18H                      </t>
  </si>
  <si>
    <t>8806094305265</t>
  </si>
  <si>
    <t>8806094305289</t>
  </si>
  <si>
    <t>MX-T70/ZN</t>
  </si>
  <si>
    <t xml:space="preserve">SOUND TOWER SAMSUNG 1500W                                   </t>
  </si>
  <si>
    <t>8806092261273</t>
  </si>
  <si>
    <t>EB-P3400XUEGWW</t>
  </si>
  <si>
    <t xml:space="preserve">POWERBANK SAMSUNG 10.000mAh 2xC 25w (BEGE)                  </t>
  </si>
  <si>
    <t>Wearables and Acessories</t>
  </si>
  <si>
    <t>8806094679496</t>
  </si>
  <si>
    <t>EE-GN930BBEGWW</t>
  </si>
  <si>
    <t xml:space="preserve">Adaptador Micro USB Samsung                                 </t>
  </si>
  <si>
    <t>8806088754086</t>
  </si>
  <si>
    <t>EF-BX110TBEGWW</t>
  </si>
  <si>
    <t xml:space="preserve">Capa Livro Galaxy Tab A9 8.7" Preto                         </t>
  </si>
  <si>
    <t>8806095300511</t>
  </si>
  <si>
    <t>EF-DT970BBEGGB</t>
  </si>
  <si>
    <t xml:space="preserve">Capa Tablet S7+ c/ teclado                                  </t>
  </si>
  <si>
    <t>8806090600098</t>
  </si>
  <si>
    <t>EF-EA536PBEGWW</t>
  </si>
  <si>
    <t xml:space="preserve">Capa Galaxy A53 View Wallet Cover                           </t>
  </si>
  <si>
    <t>EF-EA715PBEGWW</t>
  </si>
  <si>
    <t xml:space="preserve">Capa Galaxy A71 Flip View Wallet                            </t>
  </si>
  <si>
    <t>8806094237801</t>
  </si>
  <si>
    <t>8806090181276</t>
  </si>
  <si>
    <t>EF-KG988CBEGW</t>
  </si>
  <si>
    <t xml:space="preserve">Capa Galaxy S20 Ultra Protective                            </t>
  </si>
  <si>
    <t>EF-KN975CBEGWW</t>
  </si>
  <si>
    <t xml:space="preserve">Capa Galaxy Note 10+ Protective                             </t>
  </si>
  <si>
    <t>8806090273247</t>
  </si>
  <si>
    <t>8806090032493</t>
  </si>
  <si>
    <t>EF-MS931CWEGWW</t>
  </si>
  <si>
    <t xml:space="preserve">Capa Wallpaper Inteligente Galaxy S25                       </t>
  </si>
  <si>
    <t>EF-NG980PLEGWW</t>
  </si>
  <si>
    <t xml:space="preserve">Capa Galaxy S20 Flip LED View                               </t>
  </si>
  <si>
    <t>EF-NG985PBEGW</t>
  </si>
  <si>
    <t xml:space="preserve">Capa Galaxy S20+ Flip LED View                              </t>
  </si>
  <si>
    <t>8806095970615</t>
  </si>
  <si>
    <t>8806090273124</t>
  </si>
  <si>
    <t>8806090273063</t>
  </si>
  <si>
    <t>EF-NN970PBEGWW</t>
  </si>
  <si>
    <t xml:space="preserve">Capa Galaxy Note 10 Flip LED View                           </t>
  </si>
  <si>
    <t>8806090041402</t>
  </si>
  <si>
    <t>EF-OA135TLEGWW</t>
  </si>
  <si>
    <t xml:space="preserve">Capa Galaxy A13 Slot Cartão                                 </t>
  </si>
  <si>
    <t>EF-OA146TBEGWW</t>
  </si>
  <si>
    <t xml:space="preserve">Capa Galaxy A14 Slot Cartão (Preto)                         </t>
  </si>
  <si>
    <t>8806094330250</t>
  </si>
  <si>
    <t>8806094851489</t>
  </si>
  <si>
    <t>EF-OA235TLEGWW</t>
  </si>
  <si>
    <t xml:space="preserve">Capa Galaxy A23 Slot Cartão                                 </t>
  </si>
  <si>
    <t>EF-OA256TBEGWW</t>
  </si>
  <si>
    <t xml:space="preserve">Capa Galaxy A25 c/Slot Cartões Preto                        </t>
  </si>
  <si>
    <t>EF-OA346TBEGWW</t>
  </si>
  <si>
    <t xml:space="preserve">Capa Galaxy A34 Slot Cartão (Preto)                         </t>
  </si>
  <si>
    <t>8806094329155</t>
  </si>
  <si>
    <t>8806095236124</t>
  </si>
  <si>
    <t>8806094920482</t>
  </si>
  <si>
    <t>EF-PA356TBEGWW</t>
  </si>
  <si>
    <t xml:space="preserve">Capa Galaxy A35 Silicone Preto                              </t>
  </si>
  <si>
    <t>EF-PA556TBEGWW</t>
  </si>
  <si>
    <t xml:space="preserve">Capa Galaxy A55 Silicone Preto                              </t>
  </si>
  <si>
    <t>EF-PA736TBEGWW</t>
  </si>
  <si>
    <t xml:space="preserve">Capa Galaxy A73 Silicone                                    </t>
  </si>
  <si>
    <t>8806095542508</t>
  </si>
  <si>
    <t>8806095542560</t>
  </si>
  <si>
    <t>8806094330731</t>
  </si>
  <si>
    <t>EF-QA107TTEGWW</t>
  </si>
  <si>
    <t xml:space="preserve">Capa Galaxy A10s Protective                                 </t>
  </si>
  <si>
    <t>EF-QA166CTEGWW</t>
  </si>
  <si>
    <t xml:space="preserve">Capa Galaxy A16 Transparente                                </t>
  </si>
  <si>
    <t>EF-QA207TTEGWW</t>
  </si>
  <si>
    <t xml:space="preserve">Capa Galaxy A20s Protective                                 </t>
  </si>
  <si>
    <t>EF-QA245CTEGWW</t>
  </si>
  <si>
    <t xml:space="preserve">Capa Galaxy A24 Protective                                  </t>
  </si>
  <si>
    <t>EF-QA307TTEGWW</t>
  </si>
  <si>
    <t xml:space="preserve">Capa Galaxy A30s Protective                                 </t>
  </si>
  <si>
    <t>EF-QA366CTEGWW</t>
  </si>
  <si>
    <t xml:space="preserve">Capa Galaxy A36 Transparente                                </t>
  </si>
  <si>
    <t>EF-QA566CTEGWW</t>
  </si>
  <si>
    <t xml:space="preserve">Capa Galaxy A56 Transparente                                </t>
  </si>
  <si>
    <t>EF-QF741CTEGWW</t>
  </si>
  <si>
    <t xml:space="preserve">Capa Galaxy Z Flip 6 Transparente c/ Anel                   </t>
  </si>
  <si>
    <t>EF-UA736TTEGWW</t>
  </si>
  <si>
    <t xml:space="preserve">Galaxy A73 Tempered Glass Screen Protector                  </t>
  </si>
  <si>
    <t>EF-UF731CTEGWW</t>
  </si>
  <si>
    <t xml:space="preserve">Pelicula frontal Protective Galaxy Z Flip 5                 </t>
  </si>
  <si>
    <t>8806090044113</t>
  </si>
  <si>
    <t>8806095811819</t>
  </si>
  <si>
    <t>8806090044083</t>
  </si>
  <si>
    <t>8806094853056</t>
  </si>
  <si>
    <t>8806090077593</t>
  </si>
  <si>
    <t>8806097099727</t>
  </si>
  <si>
    <t>8806097072331</t>
  </si>
  <si>
    <t>8806095613888</t>
  </si>
  <si>
    <t>8806094330854</t>
  </si>
  <si>
    <t>8806095084466</t>
  </si>
  <si>
    <t>EF-UF946CTEGWW</t>
  </si>
  <si>
    <t xml:space="preserve">Pelicula frontal Protective Galaxy Z Fold 5                 </t>
  </si>
  <si>
    <t>EF-VF900LBEGWW</t>
  </si>
  <si>
    <t xml:space="preserve">Capa Galaxy Fold Leather                                    </t>
  </si>
  <si>
    <t>8806095064826</t>
  </si>
  <si>
    <t>8801643900410</t>
  </si>
  <si>
    <t>EF-VS938PBEGWW</t>
  </si>
  <si>
    <t xml:space="preserve">Capa Galaxy S25 Ultra Kindsuit (Preto)                      </t>
  </si>
  <si>
    <t>8806095850573</t>
  </si>
  <si>
    <t>EF-ZF731CTEGWW</t>
  </si>
  <si>
    <t xml:space="preserve">Capa Galaxy Z Flip 5 Transparente Azul/Rosa                 </t>
  </si>
  <si>
    <t>8806095070964</t>
  </si>
  <si>
    <t>EF-ZG970CBEGW</t>
  </si>
  <si>
    <t xml:space="preserve">Capa Galaxy S10e Flip Clear View                            </t>
  </si>
  <si>
    <t>EF-ZG973CBEGWW</t>
  </si>
  <si>
    <t xml:space="preserve">Capa Galaxy S10 Flip Clear View                             </t>
  </si>
  <si>
    <t>8801643651374</t>
  </si>
  <si>
    <t>8801643651336</t>
  </si>
  <si>
    <t>EF-ZG980CJEGW</t>
  </si>
  <si>
    <t xml:space="preserve">Capa Galaxy S20 Flip Clear View                             </t>
  </si>
  <si>
    <t>EF-ZG985CJEGW</t>
  </si>
  <si>
    <t xml:space="preserve">Capa Galaxy S20+ Clear Flip View                            </t>
  </si>
  <si>
    <t>EF-ZG996CBEGWW</t>
  </si>
  <si>
    <t xml:space="preserve">Capa protetora Galaxy S21+ Smart Clear View                 </t>
  </si>
  <si>
    <t>8806090285837</t>
  </si>
  <si>
    <t>8806090285813</t>
  </si>
  <si>
    <t>8806090837593</t>
  </si>
  <si>
    <t>EF-ZN970CBEGWW</t>
  </si>
  <si>
    <t xml:space="preserve">Capa Galaxy Note 10 Flip Clear View                         </t>
  </si>
  <si>
    <t>8806090029479</t>
  </si>
  <si>
    <t>EF-ZS906CBEGWW</t>
  </si>
  <si>
    <t xml:space="preserve">Capa Galaxy S22+ Smart Clear View                           </t>
  </si>
  <si>
    <t>EF-ZS911CBEGWW</t>
  </si>
  <si>
    <t xml:space="preserve">Galaxy S23 Smart View Wallet Case (Preto)                   </t>
  </si>
  <si>
    <t>8806092979888</t>
  </si>
  <si>
    <t>8806094772623</t>
  </si>
  <si>
    <t>EI-T5600BWEGWW</t>
  </si>
  <si>
    <t xml:space="preserve">Galaxy SmartTag2 Branca                                     </t>
  </si>
  <si>
    <t>8806095031408</t>
  </si>
  <si>
    <t>EO-IA500BBEGWW</t>
  </si>
  <si>
    <t xml:space="preserve">Auscultadores In-ear Samsung c/ micro e Jack 3.5mm          </t>
  </si>
  <si>
    <t>8806092697324</t>
  </si>
  <si>
    <t>EP-DX510JWEGWW</t>
  </si>
  <si>
    <t xml:space="preserve">CABO USB 5A (USB-C to USB-C) 1.8m                           </t>
  </si>
  <si>
    <t>8806094043709</t>
  </si>
  <si>
    <t>EP-L4020NBEGWW</t>
  </si>
  <si>
    <t>Carregador Carro Super Rápido 40W duplo 15W (USB+25W C)PRETO</t>
  </si>
  <si>
    <t>8806094000764</t>
  </si>
  <si>
    <t>EP-T2510NBEGWW</t>
  </si>
  <si>
    <t xml:space="preserve">Adaptador Viagem (25W) Samsung (2024)                       </t>
  </si>
  <si>
    <t>8806094899528</t>
  </si>
  <si>
    <t>EP-T4511XBEGWW</t>
  </si>
  <si>
    <t xml:space="preserve">Carregador USB-C 45W c/cabo (2024)                          </t>
  </si>
  <si>
    <t>EP-T6530NBEGWW</t>
  </si>
  <si>
    <t xml:space="preserve">Carregador Fast Triplo USB-C 65W+25W +USB 15W               </t>
  </si>
  <si>
    <t>8806095471761</t>
  </si>
  <si>
    <t>8806092669987</t>
  </si>
  <si>
    <t>ET-FA336TTEGWW</t>
  </si>
  <si>
    <t xml:space="preserve">Galaxy A33 Tempered Glass Screen Protector                  </t>
  </si>
  <si>
    <t>ET-FA536TTEGWW</t>
  </si>
  <si>
    <t xml:space="preserve">Galaxy A53 Tempered Glass Screen Protector                  </t>
  </si>
  <si>
    <t>8806094253726</t>
  </si>
  <si>
    <t>8806094253719</t>
  </si>
  <si>
    <t>GP-FPA055VAATW</t>
  </si>
  <si>
    <t xml:space="preserve">Capa Galaxy A05 Silicone Transparente                       </t>
  </si>
  <si>
    <t>GP-FPA325WSABW</t>
  </si>
  <si>
    <t xml:space="preserve">PREMIUM HARD CASE A32 BLACK                                 </t>
  </si>
  <si>
    <t>850049755078</t>
  </si>
  <si>
    <t>8809328494490</t>
  </si>
  <si>
    <t>GP-OAU021AMDBW</t>
  </si>
  <si>
    <t xml:space="preserve">AKG Auscultadores tipo-C Samsung Preto Blister              </t>
  </si>
  <si>
    <t>8809236089818</t>
  </si>
  <si>
    <t>GP-TTA325KDATW</t>
  </si>
  <si>
    <t xml:space="preserve">TEMPERED GLASS A32                                          </t>
  </si>
  <si>
    <t>8809744465678</t>
  </si>
  <si>
    <t>GP-TTS911MVATW</t>
  </si>
  <si>
    <t xml:space="preserve">GALAXY S23 NORMAL TEMPERED GLASS SCREEN PROTECTOR           </t>
  </si>
  <si>
    <t>8809931090201</t>
  </si>
  <si>
    <t>SM-R510NZAAXFA</t>
  </si>
  <si>
    <t xml:space="preserve">Auscultadores Galaxy BUDS2 Pro PRETO                        </t>
  </si>
  <si>
    <t>SM-R530NZAAXFA</t>
  </si>
  <si>
    <t xml:space="preserve">Auscultadores Galaxy BUDS3 Cinza                            </t>
  </si>
  <si>
    <t>SM-R630NZAAXFA</t>
  </si>
  <si>
    <t xml:space="preserve">Auscultadores Galaxy BUDS3 Pro Cinza                        </t>
  </si>
  <si>
    <t>8806094511260</t>
  </si>
  <si>
    <t>8806095647159</t>
  </si>
  <si>
    <t>8806095644899</t>
  </si>
  <si>
    <t>Acessorios TV</t>
  </si>
  <si>
    <t>NAP035-3270</t>
  </si>
  <si>
    <t xml:space="preserve">Suporte TV NAPOFIX de Parede 32-70 Inclinavel               </t>
  </si>
  <si>
    <t>NAP040-3790</t>
  </si>
  <si>
    <t xml:space="preserve">Suporte TV NAPOFIX de Parede 37-90 Inclinavel               </t>
  </si>
  <si>
    <t>NAP050-2665</t>
  </si>
  <si>
    <t xml:space="preserve">Suporte TV NAPOFIX de Parede 26-65 Inclinavel 1 Braço       </t>
  </si>
  <si>
    <t>NAP060-2665</t>
  </si>
  <si>
    <t xml:space="preserve">Suporte TV NAPOFIX de Parede 23-65 Inclinavel 1 Braço       </t>
  </si>
  <si>
    <t>NAP262-60100</t>
  </si>
  <si>
    <t xml:space="preserve">Suporte TV NAPOFIX de Parede 60-100 Fixo                    </t>
  </si>
  <si>
    <t>NAP272-60100</t>
  </si>
  <si>
    <t xml:space="preserve">Suporte TV NAPOFIX de Parede 60-100 inclinavel              </t>
  </si>
  <si>
    <t>NAP274-3265</t>
  </si>
  <si>
    <t xml:space="preserve">Suporte TV NAPOFIX de Parede 32-65 Inclinável 2 Braços      </t>
  </si>
  <si>
    <t>NAP275-3770</t>
  </si>
  <si>
    <t xml:space="preserve">Suporte TV NAPOFIX de Parede 37-70 Inclinavel 2 Braços      </t>
  </si>
  <si>
    <t>NAP276-4290</t>
  </si>
  <si>
    <t xml:space="preserve">Suporte TV NAPOFIX de Parede 42-90 Inclinavel 4 Braços      </t>
  </si>
  <si>
    <t>NAP279-3265</t>
  </si>
  <si>
    <t xml:space="preserve">Suporte TV NAPOFIX de Teto 32-65                            </t>
  </si>
  <si>
    <t>NAP280-4290</t>
  </si>
  <si>
    <t xml:space="preserve">Suporte TV NAPOFIX de Teto 42-90                            </t>
  </si>
  <si>
    <t>NAPDM2110B</t>
  </si>
  <si>
    <t xml:space="preserve">Suporte Monitor NAPOFIX 13-32 1 Braço 9Kg Preto             </t>
  </si>
  <si>
    <t>NAPDM2210B</t>
  </si>
  <si>
    <t xml:space="preserve">Suporte Monitor NAPOFIX 13-32 2*Braço Preto - 2 Monitores   </t>
  </si>
  <si>
    <t>NAPDM3210</t>
  </si>
  <si>
    <t xml:space="preserve">Suporte Monitor NAPOFIX 13-32 2*Braço Preto - 2 Monit. Flex </t>
  </si>
  <si>
    <t>NAPFMT600T</t>
  </si>
  <si>
    <t xml:space="preserve">Suporte TV NAPOFIX de Chao Tripe 37-70                      </t>
  </si>
  <si>
    <t>NAPGDM2100</t>
  </si>
  <si>
    <t xml:space="preserve">Suporte NAPOFIX de Secretária Gaming Full-Motion p/ Monitor </t>
  </si>
  <si>
    <t>NAPGDM2200</t>
  </si>
  <si>
    <t xml:space="preserve">Suporte de Secretária Gaming Full-Motion para Duplo Monitor </t>
  </si>
  <si>
    <t>NAPHA600</t>
  </si>
  <si>
    <t xml:space="preserve">Hastes p/ Suporte de Teto TV NAPOFIX 600mm                  </t>
  </si>
  <si>
    <t>5603209000946</t>
  </si>
  <si>
    <t>5603209000922</t>
  </si>
  <si>
    <t>5603209000939</t>
  </si>
  <si>
    <t>5603209001899</t>
  </si>
  <si>
    <t>5603209009994</t>
  </si>
  <si>
    <t>5603209002728</t>
  </si>
  <si>
    <t>5603209002742</t>
  </si>
  <si>
    <t>5603209002759</t>
  </si>
  <si>
    <t>5603209002766</t>
  </si>
  <si>
    <t>5603209002797</t>
  </si>
  <si>
    <t>5603209002803</t>
  </si>
  <si>
    <t>5603209002193</t>
  </si>
  <si>
    <t>5603209002216</t>
  </si>
  <si>
    <t>5603209001950</t>
  </si>
  <si>
    <t>5603209060001</t>
  </si>
  <si>
    <t>5603209001974</t>
  </si>
  <si>
    <t>5603209001981</t>
  </si>
  <si>
    <t>5603209006016</t>
  </si>
  <si>
    <t>NAPVW1800</t>
  </si>
  <si>
    <t xml:space="preserve">Suporte TV NAPOFIX de Parede 43-90 com Hastes extensíveis   </t>
  </si>
  <si>
    <t>5603209018019</t>
  </si>
  <si>
    <t>SAMSUNG_AC_RAC</t>
  </si>
  <si>
    <t xml:space="preserve">MURAL SAMSUNG AR3000M 09 R410A H/P                          </t>
  </si>
  <si>
    <t>AR09TQHGAWK/FA</t>
  </si>
  <si>
    <t>AR12CQHGAWK/FA</t>
  </si>
  <si>
    <t xml:space="preserve">MURAL SAMSUNG AR3000M 12 R410A H/P                          </t>
  </si>
  <si>
    <t xml:space="preserve">MURAL SAMSUNG AR3000M 18 R410A H/P                          </t>
  </si>
  <si>
    <t>AR18TQHGAWK/FA</t>
  </si>
  <si>
    <t>AR24TQHGAWK/FA</t>
  </si>
  <si>
    <t xml:space="preserve">MURAL SAMSUNG AR3000M 24 R410A H/P                          </t>
  </si>
  <si>
    <t>Encomendas:</t>
  </si>
  <si>
    <t>marcio.charata@cotarco.com</t>
  </si>
  <si>
    <t>comercial@cotarco.com</t>
  </si>
  <si>
    <t>+244928157507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</si>
</sst>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indexed="9"/>
      <name val="Samsung Sharp Sans"/>
      <family val="3"/>
    </font>
    <font>
      <sz val="11"/>
      <color theme="1"/>
      <name val="Samsung Sharp Sans"/>
      <family val="3"/>
    </font>
    <font>
      <sz val="8"/>
      <color theme="1"/>
      <name val="Samsung Sharp Sans"/>
      <family val="3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64" fontId="2" fillId="2" borderId="2" xfId="1" applyNumberFormat="1" applyFont="1" applyFill="1" applyBorder="1" applyAlignment="1">
      <alignment horizontal="center" vertical="top"/>
    </xf>
    <xf numFmtId="43" fontId="2" fillId="2" borderId="1" xfId="1" applyFont="1" applyFill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vertical="top"/>
    </xf>
    <xf numFmtId="43" fontId="4" fillId="0" borderId="1" xfId="1" applyFont="1" applyFill="1" applyBorder="1" applyAlignment="1">
      <alignment vertical="top"/>
    </xf>
    <xf numFmtId="43" fontId="4" fillId="0" borderId="1" xfId="1" applyFont="1" applyFill="1" applyBorder="1"/>
    <xf numFmtId="0" fontId="4" fillId="0" borderId="1" xfId="0" applyFont="1" applyBorder="1"/>
    <xf numFmtId="0" fontId="4" fillId="3" borderId="1" xfId="0" applyFont="1" applyFill="1" applyBorder="1" applyAlignment="1">
      <alignment vertical="top"/>
    </xf>
    <xf numFmtId="43" fontId="4" fillId="3" borderId="1" xfId="1" applyFont="1" applyFill="1" applyBorder="1" applyAlignment="1">
      <alignment vertical="top"/>
    </xf>
    <xf numFmtId="43" fontId="4" fillId="3" borderId="1" xfId="1" applyFont="1" applyFill="1" applyBorder="1"/>
    <xf numFmtId="0" fontId="5" fillId="0" borderId="0" xfId="2"/>
    <xf numFmtId="0" fontId="3" fillId="0" borderId="0" xfId="0" quotePrefix="1" applyFont="1"/>
  </cellXfs>
  <cellStyles count="3">
    <cellStyle name="Hiperligação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2819401</xdr:colOff>
      <xdr:row>6</xdr:row>
      <xdr:rowOff>5105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A02190-DA2A-3D06-BCAE-E4003E65F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733800" cy="1148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omercial@cotarco.com" TargetMode="External"/><Relationship Id="rId1" Type="http://schemas.openxmlformats.org/officeDocument/2006/relationships/hyperlink" Target="mailto:marcio.charata@cotar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E457-8693-4010-B35A-0EC43F2BC36E}">
  <dimension ref="A2:H141"/>
  <sheetViews>
    <sheetView showGridLines="0" tabSelected="1" zoomScale="115" zoomScaleNormal="115" workbookViewId="0">
      <pane xSplit="8" ySplit="8" topLeftCell="I9" activePane="bottomRight" state="frozen"/>
      <selection pane="topRight" activeCell="I1" sqref="I1"/>
      <selection pane="bottomLeft" activeCell="A9" sqref="A9"/>
      <selection pane="bottomRight" activeCell="I9" sqref="I9"/>
    </sheetView>
  </sheetViews>
  <sheetFormatPr defaultRowHeight="15" x14ac:dyDescent="0.25"/>
  <cols>
    <col min="1" max="1" width="13.7109375" style="4" bestFit="1" customWidth="1"/>
    <col min="2" max="2" width="49.7109375" style="4" bestFit="1" customWidth="1"/>
    <col min="3" max="3" width="16.85546875" style="4" bestFit="1" customWidth="1"/>
    <col min="4" max="4" width="8.28515625" style="4" bestFit="1" customWidth="1"/>
    <col min="5" max="5" width="11.7109375" style="4" bestFit="1" customWidth="1"/>
    <col min="6" max="6" width="10.85546875" style="4" bestFit="1" customWidth="1"/>
    <col min="7" max="8" width="11.7109375" style="4" bestFit="1" customWidth="1"/>
    <col min="9" max="16384" width="9.140625" style="4"/>
  </cols>
  <sheetData>
    <row r="2" spans="1:8" x14ac:dyDescent="0.25">
      <c r="C2" s="4" t="s">
        <v>412</v>
      </c>
    </row>
    <row r="3" spans="1:8" x14ac:dyDescent="0.25">
      <c r="C3" s="12" t="s">
        <v>413</v>
      </c>
    </row>
    <row r="4" spans="1:8" x14ac:dyDescent="0.25">
      <c r="C4" s="12" t="s">
        <v>414</v>
      </c>
    </row>
    <row r="6" spans="1:8" x14ac:dyDescent="0.25">
      <c r="C6" s="13" t="s">
        <v>415</v>
      </c>
    </row>
    <row r="8" spans="1:8" x14ac:dyDescent="0.25">
      <c r="A8" s="1" t="s">
        <v>0</v>
      </c>
      <c r="B8" s="1" t="s">
        <v>1</v>
      </c>
      <c r="C8" s="1" t="s">
        <v>2</v>
      </c>
      <c r="D8" s="2" t="s">
        <v>3</v>
      </c>
      <c r="E8" s="3" t="s">
        <v>4</v>
      </c>
      <c r="F8" s="3" t="s">
        <v>5</v>
      </c>
      <c r="G8" s="3" t="s">
        <v>6</v>
      </c>
      <c r="H8" s="3" t="s">
        <v>7</v>
      </c>
    </row>
    <row r="9" spans="1:8" x14ac:dyDescent="0.25">
      <c r="A9" s="5" t="s">
        <v>8</v>
      </c>
      <c r="B9" s="5" t="s">
        <v>9</v>
      </c>
      <c r="C9" s="5" t="s">
        <v>10</v>
      </c>
      <c r="D9" s="5">
        <v>7</v>
      </c>
      <c r="E9" s="6">
        <v>2535402.87</v>
      </c>
      <c r="F9" s="7">
        <f>E9*0.14</f>
        <v>354956.40180000005</v>
      </c>
      <c r="G9" s="7">
        <f>SUM(E9:F9)</f>
        <v>2890359.2718000002</v>
      </c>
      <c r="H9" s="8" t="s">
        <v>15</v>
      </c>
    </row>
    <row r="10" spans="1:8" x14ac:dyDescent="0.25">
      <c r="A10" s="9" t="s">
        <v>11</v>
      </c>
      <c r="B10" s="9" t="s">
        <v>12</v>
      </c>
      <c r="C10" s="9" t="s">
        <v>10</v>
      </c>
      <c r="D10" s="9">
        <v>7</v>
      </c>
      <c r="E10" s="10">
        <v>1816593.88213</v>
      </c>
      <c r="F10" s="11">
        <f t="shared" ref="F10:F73" si="0">E10*0.14</f>
        <v>254323.14349820002</v>
      </c>
      <c r="G10" s="11">
        <f t="shared" ref="G10:G73" si="1">SUM(E10:F10)</f>
        <v>2070917.0256282</v>
      </c>
      <c r="H10" s="8" t="s">
        <v>16</v>
      </c>
    </row>
    <row r="11" spans="1:8" x14ac:dyDescent="0.25">
      <c r="A11" s="5" t="s">
        <v>13</v>
      </c>
      <c r="B11" s="5" t="s">
        <v>14</v>
      </c>
      <c r="C11" s="5" t="s">
        <v>10</v>
      </c>
      <c r="D11" s="5">
        <v>5</v>
      </c>
      <c r="E11" s="6">
        <v>1376368.45</v>
      </c>
      <c r="F11" s="7">
        <f t="shared" si="0"/>
        <v>192691.58300000001</v>
      </c>
      <c r="G11" s="7">
        <f t="shared" si="1"/>
        <v>1569060.0330000001</v>
      </c>
      <c r="H11" s="8" t="s">
        <v>17</v>
      </c>
    </row>
    <row r="12" spans="1:8" x14ac:dyDescent="0.25">
      <c r="A12" s="5" t="s">
        <v>18</v>
      </c>
      <c r="B12" s="5" t="s">
        <v>19</v>
      </c>
      <c r="C12" s="5" t="s">
        <v>10</v>
      </c>
      <c r="D12" s="5">
        <v>1</v>
      </c>
      <c r="E12" s="6">
        <v>2969038.8</v>
      </c>
      <c r="F12" s="7">
        <f t="shared" si="0"/>
        <v>415665.43200000003</v>
      </c>
      <c r="G12" s="7">
        <f t="shared" si="1"/>
        <v>3384704.2319999998</v>
      </c>
      <c r="H12" s="8" t="s">
        <v>20</v>
      </c>
    </row>
    <row r="13" spans="1:8" x14ac:dyDescent="0.25">
      <c r="A13" s="9" t="s">
        <v>21</v>
      </c>
      <c r="B13" s="9" t="s">
        <v>22</v>
      </c>
      <c r="C13" s="9" t="s">
        <v>10</v>
      </c>
      <c r="D13" s="9">
        <v>10</v>
      </c>
      <c r="E13" s="10">
        <v>2810895.8453299999</v>
      </c>
      <c r="F13" s="11">
        <f t="shared" si="0"/>
        <v>393525.41834620002</v>
      </c>
      <c r="G13" s="11">
        <f t="shared" si="1"/>
        <v>3204421.2636762001</v>
      </c>
      <c r="H13" s="8" t="s">
        <v>23</v>
      </c>
    </row>
    <row r="14" spans="1:8" x14ac:dyDescent="0.25">
      <c r="A14" s="5" t="s">
        <v>24</v>
      </c>
      <c r="B14" s="5" t="s">
        <v>25</v>
      </c>
      <c r="C14" s="5" t="s">
        <v>10</v>
      </c>
      <c r="D14" s="5">
        <v>1</v>
      </c>
      <c r="E14" s="6">
        <v>2119346.7749999999</v>
      </c>
      <c r="F14" s="7">
        <f t="shared" si="0"/>
        <v>296708.54850000003</v>
      </c>
      <c r="G14" s="7">
        <f t="shared" si="1"/>
        <v>2416055.3234999999</v>
      </c>
      <c r="H14" s="8" t="s">
        <v>26</v>
      </c>
    </row>
    <row r="15" spans="1:8" x14ac:dyDescent="0.25">
      <c r="A15" s="9" t="s">
        <v>27</v>
      </c>
      <c r="B15" s="9" t="s">
        <v>28</v>
      </c>
      <c r="C15" s="9" t="s">
        <v>29</v>
      </c>
      <c r="D15" s="9">
        <v>15</v>
      </c>
      <c r="E15" s="10">
        <v>959274.22499999998</v>
      </c>
      <c r="F15" s="11">
        <f t="shared" si="0"/>
        <v>134298.3915</v>
      </c>
      <c r="G15" s="11">
        <f t="shared" si="1"/>
        <v>1093572.6165</v>
      </c>
      <c r="H15" s="8" t="s">
        <v>32</v>
      </c>
    </row>
    <row r="16" spans="1:8" x14ac:dyDescent="0.25">
      <c r="A16" s="9" t="s">
        <v>30</v>
      </c>
      <c r="B16" s="9" t="s">
        <v>31</v>
      </c>
      <c r="C16" s="9" t="s">
        <v>29</v>
      </c>
      <c r="D16" s="9">
        <v>10</v>
      </c>
      <c r="E16" s="10">
        <v>1534838.76</v>
      </c>
      <c r="F16" s="11">
        <f t="shared" si="0"/>
        <v>214877.42640000003</v>
      </c>
      <c r="G16" s="11">
        <f t="shared" si="1"/>
        <v>1749716.1864</v>
      </c>
      <c r="H16" s="8" t="s">
        <v>33</v>
      </c>
    </row>
    <row r="17" spans="1:8" x14ac:dyDescent="0.25">
      <c r="A17" s="5" t="s">
        <v>34</v>
      </c>
      <c r="B17" s="5" t="s">
        <v>35</v>
      </c>
      <c r="C17" s="5" t="s">
        <v>29</v>
      </c>
      <c r="D17" s="5">
        <v>1</v>
      </c>
      <c r="E17" s="6">
        <v>2212161.7344</v>
      </c>
      <c r="F17" s="7">
        <f t="shared" si="0"/>
        <v>309702.64281600004</v>
      </c>
      <c r="G17" s="7">
        <f t="shared" si="1"/>
        <v>2521864.3772160001</v>
      </c>
      <c r="H17" s="8" t="s">
        <v>36</v>
      </c>
    </row>
    <row r="18" spans="1:8" x14ac:dyDescent="0.25">
      <c r="A18" s="9" t="s">
        <v>37</v>
      </c>
      <c r="B18" s="9" t="s">
        <v>38</v>
      </c>
      <c r="C18" s="9" t="s">
        <v>29</v>
      </c>
      <c r="D18" s="9">
        <v>15</v>
      </c>
      <c r="E18" s="10">
        <v>1247056.4924999999</v>
      </c>
      <c r="F18" s="11">
        <f t="shared" si="0"/>
        <v>174587.90895000001</v>
      </c>
      <c r="G18" s="11">
        <f t="shared" si="1"/>
        <v>1421644.40145</v>
      </c>
      <c r="H18" s="8" t="s">
        <v>39</v>
      </c>
    </row>
    <row r="19" spans="1:8" x14ac:dyDescent="0.25">
      <c r="A19" s="5" t="s">
        <v>40</v>
      </c>
      <c r="B19" s="5" t="s">
        <v>41</v>
      </c>
      <c r="C19" s="5" t="s">
        <v>29</v>
      </c>
      <c r="D19" s="5">
        <v>2</v>
      </c>
      <c r="E19" s="6">
        <v>4145441.8957099998</v>
      </c>
      <c r="F19" s="7">
        <f t="shared" si="0"/>
        <v>580361.86539940001</v>
      </c>
      <c r="G19" s="7">
        <f t="shared" si="1"/>
        <v>4725803.7611093996</v>
      </c>
      <c r="H19" s="8" t="s">
        <v>42</v>
      </c>
    </row>
    <row r="20" spans="1:8" x14ac:dyDescent="0.25">
      <c r="A20" s="9" t="s">
        <v>43</v>
      </c>
      <c r="B20" s="9" t="s">
        <v>44</v>
      </c>
      <c r="C20" s="9" t="s">
        <v>29</v>
      </c>
      <c r="D20" s="9">
        <v>10</v>
      </c>
      <c r="E20" s="10">
        <v>1774657.3162499999</v>
      </c>
      <c r="F20" s="11">
        <f t="shared" si="0"/>
        <v>248452.024275</v>
      </c>
      <c r="G20" s="11">
        <f t="shared" si="1"/>
        <v>2023109.3405249999</v>
      </c>
      <c r="H20" s="8" t="s">
        <v>45</v>
      </c>
    </row>
    <row r="21" spans="1:8" x14ac:dyDescent="0.25">
      <c r="A21" s="9" t="s">
        <v>46</v>
      </c>
      <c r="B21" s="9" t="s">
        <v>47</v>
      </c>
      <c r="C21" s="9" t="s">
        <v>29</v>
      </c>
      <c r="D21" s="9">
        <v>8</v>
      </c>
      <c r="E21" s="10">
        <v>3288940.2</v>
      </c>
      <c r="F21" s="11">
        <f t="shared" si="0"/>
        <v>460451.62800000008</v>
      </c>
      <c r="G21" s="11">
        <f t="shared" si="1"/>
        <v>3749391.8280000002</v>
      </c>
      <c r="H21" s="8" t="s">
        <v>48</v>
      </c>
    </row>
    <row r="22" spans="1:8" x14ac:dyDescent="0.25">
      <c r="A22" s="9" t="s">
        <v>49</v>
      </c>
      <c r="B22" s="9" t="s">
        <v>50</v>
      </c>
      <c r="C22" s="9" t="s">
        <v>29</v>
      </c>
      <c r="D22" s="9">
        <v>20</v>
      </c>
      <c r="E22" s="10">
        <v>654976.98</v>
      </c>
      <c r="F22" s="11">
        <f t="shared" si="0"/>
        <v>91696.777200000011</v>
      </c>
      <c r="G22" s="11">
        <f t="shared" si="1"/>
        <v>746673.75719999999</v>
      </c>
      <c r="H22" s="8" t="s">
        <v>51</v>
      </c>
    </row>
    <row r="23" spans="1:8" x14ac:dyDescent="0.25">
      <c r="A23" s="9" t="s">
        <v>52</v>
      </c>
      <c r="B23" s="9" t="s">
        <v>53</v>
      </c>
      <c r="C23" s="9" t="s">
        <v>29</v>
      </c>
      <c r="D23" s="9">
        <v>50</v>
      </c>
      <c r="E23" s="10">
        <v>230225.81400000001</v>
      </c>
      <c r="F23" s="11">
        <f t="shared" si="0"/>
        <v>32231.613960000006</v>
      </c>
      <c r="G23" s="11">
        <f t="shared" si="1"/>
        <v>262457.42796</v>
      </c>
      <c r="H23" s="8" t="s">
        <v>56</v>
      </c>
    </row>
    <row r="24" spans="1:8" x14ac:dyDescent="0.25">
      <c r="A24" s="5" t="s">
        <v>54</v>
      </c>
      <c r="B24" s="5" t="s">
        <v>55</v>
      </c>
      <c r="C24" s="5" t="s">
        <v>29</v>
      </c>
      <c r="D24" s="5">
        <v>11</v>
      </c>
      <c r="E24" s="6">
        <v>203062.86</v>
      </c>
      <c r="F24" s="7">
        <f t="shared" si="0"/>
        <v>28428.8004</v>
      </c>
      <c r="G24" s="7">
        <f t="shared" si="1"/>
        <v>231491.66039999999</v>
      </c>
      <c r="H24" s="8" t="s">
        <v>57</v>
      </c>
    </row>
    <row r="25" spans="1:8" x14ac:dyDescent="0.25">
      <c r="A25" s="9" t="s">
        <v>58</v>
      </c>
      <c r="B25" s="9" t="s">
        <v>59</v>
      </c>
      <c r="C25" s="9" t="s">
        <v>29</v>
      </c>
      <c r="D25" s="9">
        <v>20</v>
      </c>
      <c r="E25" s="10">
        <v>449659.79297000001</v>
      </c>
      <c r="F25" s="11">
        <f t="shared" si="0"/>
        <v>62952.37101580001</v>
      </c>
      <c r="G25" s="11">
        <f t="shared" si="1"/>
        <v>512612.1639858</v>
      </c>
      <c r="H25" s="8" t="s">
        <v>60</v>
      </c>
    </row>
    <row r="26" spans="1:8" x14ac:dyDescent="0.25">
      <c r="A26" s="9" t="s">
        <v>61</v>
      </c>
      <c r="B26" s="9" t="s">
        <v>62</v>
      </c>
      <c r="C26" s="9" t="s">
        <v>29</v>
      </c>
      <c r="D26" s="9">
        <v>65</v>
      </c>
      <c r="E26" s="10">
        <v>539591.75156</v>
      </c>
      <c r="F26" s="11">
        <f t="shared" si="0"/>
        <v>75542.845218400005</v>
      </c>
      <c r="G26" s="11">
        <f t="shared" si="1"/>
        <v>615134.59677840001</v>
      </c>
      <c r="H26" s="8" t="s">
        <v>63</v>
      </c>
    </row>
    <row r="27" spans="1:8" x14ac:dyDescent="0.25">
      <c r="A27" s="5" t="s">
        <v>64</v>
      </c>
      <c r="B27" s="5" t="s">
        <v>65</v>
      </c>
      <c r="C27" s="5" t="s">
        <v>29</v>
      </c>
      <c r="D27" s="5">
        <v>70</v>
      </c>
      <c r="E27" s="6">
        <v>647510.10187999997</v>
      </c>
      <c r="F27" s="7">
        <f t="shared" si="0"/>
        <v>90651.4142632</v>
      </c>
      <c r="G27" s="7">
        <f t="shared" si="1"/>
        <v>738161.51614319999</v>
      </c>
      <c r="H27" s="8" t="s">
        <v>66</v>
      </c>
    </row>
    <row r="28" spans="1:8" x14ac:dyDescent="0.25">
      <c r="A28" s="9" t="s">
        <v>67</v>
      </c>
      <c r="B28" s="9" t="s">
        <v>68</v>
      </c>
      <c r="C28" s="9" t="s">
        <v>29</v>
      </c>
      <c r="D28" s="9">
        <v>103</v>
      </c>
      <c r="E28" s="10">
        <v>791401.23563000001</v>
      </c>
      <c r="F28" s="11">
        <f t="shared" si="0"/>
        <v>110796.17298820001</v>
      </c>
      <c r="G28" s="11">
        <f t="shared" si="1"/>
        <v>902197.40861819999</v>
      </c>
      <c r="H28" s="8" t="s">
        <v>69</v>
      </c>
    </row>
    <row r="29" spans="1:8" x14ac:dyDescent="0.25">
      <c r="A29" s="9" t="s">
        <v>70</v>
      </c>
      <c r="B29" s="9" t="s">
        <v>71</v>
      </c>
      <c r="C29" s="9" t="s">
        <v>29</v>
      </c>
      <c r="D29" s="9">
        <v>30</v>
      </c>
      <c r="E29" s="10">
        <v>1348979.37891</v>
      </c>
      <c r="F29" s="11">
        <f t="shared" si="0"/>
        <v>188857.11304740002</v>
      </c>
      <c r="G29" s="11">
        <f t="shared" si="1"/>
        <v>1537836.4919574</v>
      </c>
      <c r="H29" s="8" t="s">
        <v>72</v>
      </c>
    </row>
    <row r="30" spans="1:8" x14ac:dyDescent="0.25">
      <c r="A30" s="5" t="s">
        <v>73</v>
      </c>
      <c r="B30" s="5" t="s">
        <v>74</v>
      </c>
      <c r="C30" s="5" t="s">
        <v>29</v>
      </c>
      <c r="D30" s="5">
        <v>18</v>
      </c>
      <c r="E30" s="6">
        <v>2383618.2982000001</v>
      </c>
      <c r="F30" s="7">
        <f t="shared" si="0"/>
        <v>333706.56174800004</v>
      </c>
      <c r="G30" s="7">
        <f t="shared" si="1"/>
        <v>2717324.8599479999</v>
      </c>
      <c r="H30" s="8" t="s">
        <v>82</v>
      </c>
    </row>
    <row r="31" spans="1:8" x14ac:dyDescent="0.25">
      <c r="A31" s="5" t="s">
        <v>75</v>
      </c>
      <c r="B31" s="5" t="s">
        <v>76</v>
      </c>
      <c r="C31" s="5" t="s">
        <v>29</v>
      </c>
      <c r="D31" s="5">
        <v>5</v>
      </c>
      <c r="E31" s="6">
        <v>2833976.9909600001</v>
      </c>
      <c r="F31" s="7">
        <f t="shared" si="0"/>
        <v>396756.77873440005</v>
      </c>
      <c r="G31" s="7">
        <f t="shared" si="1"/>
        <v>3230733.7696944</v>
      </c>
      <c r="H31" s="8" t="s">
        <v>83</v>
      </c>
    </row>
    <row r="32" spans="1:8" x14ac:dyDescent="0.25">
      <c r="A32" s="9" t="s">
        <v>77</v>
      </c>
      <c r="B32" s="9" t="s">
        <v>78</v>
      </c>
      <c r="C32" s="9" t="s">
        <v>29</v>
      </c>
      <c r="D32" s="9">
        <v>15</v>
      </c>
      <c r="E32" s="10">
        <v>4111175.25</v>
      </c>
      <c r="F32" s="11">
        <f t="shared" si="0"/>
        <v>575564.53500000003</v>
      </c>
      <c r="G32" s="11">
        <f t="shared" si="1"/>
        <v>4686739.7850000001</v>
      </c>
      <c r="H32" s="8" t="s">
        <v>84</v>
      </c>
    </row>
    <row r="33" spans="1:8" x14ac:dyDescent="0.25">
      <c r="A33" s="5" t="s">
        <v>79</v>
      </c>
      <c r="B33" s="5" t="s">
        <v>80</v>
      </c>
      <c r="C33" s="5" t="s">
        <v>81</v>
      </c>
      <c r="D33" s="5">
        <v>23</v>
      </c>
      <c r="E33" s="6">
        <v>679707.6</v>
      </c>
      <c r="F33" s="7">
        <f t="shared" si="0"/>
        <v>95159.064000000013</v>
      </c>
      <c r="G33" s="7">
        <f t="shared" si="1"/>
        <v>774866.66399999999</v>
      </c>
      <c r="H33" s="8" t="s">
        <v>85</v>
      </c>
    </row>
    <row r="34" spans="1:8" x14ac:dyDescent="0.25">
      <c r="A34" s="5" t="s">
        <v>86</v>
      </c>
      <c r="B34" s="5" t="s">
        <v>87</v>
      </c>
      <c r="C34" s="5" t="s">
        <v>81</v>
      </c>
      <c r="D34" s="5">
        <v>1</v>
      </c>
      <c r="E34" s="6">
        <v>284621.84000000003</v>
      </c>
      <c r="F34" s="7">
        <f t="shared" si="0"/>
        <v>39847.057600000007</v>
      </c>
      <c r="G34" s="7">
        <f t="shared" si="1"/>
        <v>324468.89760000003</v>
      </c>
      <c r="H34" s="8" t="s">
        <v>88</v>
      </c>
    </row>
    <row r="35" spans="1:8" x14ac:dyDescent="0.25">
      <c r="A35" s="9" t="s">
        <v>89</v>
      </c>
      <c r="B35" s="9" t="s">
        <v>90</v>
      </c>
      <c r="C35" s="9" t="s">
        <v>81</v>
      </c>
      <c r="D35" s="9">
        <v>5</v>
      </c>
      <c r="E35" s="10">
        <v>3004963.9619999998</v>
      </c>
      <c r="F35" s="11">
        <f t="shared" si="0"/>
        <v>420694.95468000002</v>
      </c>
      <c r="G35" s="11">
        <f t="shared" si="1"/>
        <v>3425658.9166799998</v>
      </c>
      <c r="H35" s="8" t="s">
        <v>91</v>
      </c>
    </row>
    <row r="36" spans="1:8" x14ac:dyDescent="0.25">
      <c r="A36" s="5" t="s">
        <v>92</v>
      </c>
      <c r="B36" s="5" t="s">
        <v>93</v>
      </c>
      <c r="C36" s="5" t="s">
        <v>81</v>
      </c>
      <c r="D36" s="5">
        <v>2</v>
      </c>
      <c r="E36" s="6">
        <v>341891.55</v>
      </c>
      <c r="F36" s="7">
        <f t="shared" si="0"/>
        <v>47864.817000000003</v>
      </c>
      <c r="G36" s="7">
        <f t="shared" si="1"/>
        <v>389756.36699999997</v>
      </c>
      <c r="H36" s="8" t="s">
        <v>94</v>
      </c>
    </row>
    <row r="37" spans="1:8" x14ac:dyDescent="0.25">
      <c r="A37" s="5" t="s">
        <v>95</v>
      </c>
      <c r="B37" s="5" t="s">
        <v>96</v>
      </c>
      <c r="C37" s="5" t="s">
        <v>81</v>
      </c>
      <c r="D37" s="5">
        <v>50</v>
      </c>
      <c r="E37" s="6">
        <v>745692.11</v>
      </c>
      <c r="F37" s="7">
        <f t="shared" si="0"/>
        <v>104396.89540000001</v>
      </c>
      <c r="G37" s="7">
        <f t="shared" si="1"/>
        <v>850089.00540000002</v>
      </c>
      <c r="H37" s="8" t="s">
        <v>97</v>
      </c>
    </row>
    <row r="38" spans="1:8" x14ac:dyDescent="0.25">
      <c r="A38" s="5" t="s">
        <v>98</v>
      </c>
      <c r="B38" s="5" t="s">
        <v>99</v>
      </c>
      <c r="C38" s="5" t="s">
        <v>81</v>
      </c>
      <c r="D38" s="5">
        <v>17</v>
      </c>
      <c r="E38" s="6">
        <v>966327.61</v>
      </c>
      <c r="F38" s="7">
        <f t="shared" si="0"/>
        <v>135285.86540000001</v>
      </c>
      <c r="G38" s="7">
        <f t="shared" si="1"/>
        <v>1101613.4753999999</v>
      </c>
      <c r="H38" s="8" t="s">
        <v>102</v>
      </c>
    </row>
    <row r="39" spans="1:8" x14ac:dyDescent="0.25">
      <c r="A39" s="5" t="s">
        <v>100</v>
      </c>
      <c r="B39" s="5" t="s">
        <v>101</v>
      </c>
      <c r="C39" s="5" t="s">
        <v>81</v>
      </c>
      <c r="D39" s="5">
        <v>13</v>
      </c>
      <c r="E39" s="6">
        <v>1055698.94</v>
      </c>
      <c r="F39" s="7">
        <f t="shared" si="0"/>
        <v>147797.85159999999</v>
      </c>
      <c r="G39" s="7">
        <f t="shared" si="1"/>
        <v>1203496.7915999999</v>
      </c>
      <c r="H39" s="8" t="s">
        <v>103</v>
      </c>
    </row>
    <row r="40" spans="1:8" x14ac:dyDescent="0.25">
      <c r="A40" s="5" t="s">
        <v>105</v>
      </c>
      <c r="B40" s="5" t="s">
        <v>106</v>
      </c>
      <c r="C40" s="5" t="s">
        <v>104</v>
      </c>
      <c r="D40" s="5">
        <v>53</v>
      </c>
      <c r="E40" s="6">
        <v>136247.26999999999</v>
      </c>
      <c r="F40" s="7">
        <f t="shared" si="0"/>
        <v>19074.6178</v>
      </c>
      <c r="G40" s="7">
        <f t="shared" si="1"/>
        <v>155321.8878</v>
      </c>
      <c r="H40" s="8" t="s">
        <v>107</v>
      </c>
    </row>
    <row r="41" spans="1:8" x14ac:dyDescent="0.25">
      <c r="A41" s="5" t="s">
        <v>108</v>
      </c>
      <c r="B41" s="5" t="s">
        <v>109</v>
      </c>
      <c r="C41" s="5" t="s">
        <v>104</v>
      </c>
      <c r="D41" s="5">
        <v>44</v>
      </c>
      <c r="E41" s="6">
        <v>205878.75</v>
      </c>
      <c r="F41" s="7">
        <f t="shared" si="0"/>
        <v>28823.025000000001</v>
      </c>
      <c r="G41" s="7">
        <f t="shared" si="1"/>
        <v>234701.77499999999</v>
      </c>
      <c r="H41" s="8" t="s">
        <v>110</v>
      </c>
    </row>
    <row r="42" spans="1:8" x14ac:dyDescent="0.25">
      <c r="A42" s="5" t="s">
        <v>111</v>
      </c>
      <c r="B42" s="5" t="s">
        <v>112</v>
      </c>
      <c r="C42" s="5" t="s">
        <v>104</v>
      </c>
      <c r="D42" s="5">
        <v>20</v>
      </c>
      <c r="E42" s="6">
        <v>363825</v>
      </c>
      <c r="F42" s="7">
        <f t="shared" si="0"/>
        <v>50935.500000000007</v>
      </c>
      <c r="G42" s="7">
        <f t="shared" si="1"/>
        <v>414760.5</v>
      </c>
      <c r="H42" s="8" t="s">
        <v>113</v>
      </c>
    </row>
    <row r="43" spans="1:8" x14ac:dyDescent="0.25">
      <c r="A43" s="5" t="s">
        <v>114</v>
      </c>
      <c r="B43" s="5" t="s">
        <v>115</v>
      </c>
      <c r="C43" s="5" t="s">
        <v>104</v>
      </c>
      <c r="D43" s="5">
        <v>22</v>
      </c>
      <c r="E43" s="6">
        <v>410728.73</v>
      </c>
      <c r="F43" s="7">
        <f t="shared" si="0"/>
        <v>57502.022199999999</v>
      </c>
      <c r="G43" s="7">
        <f t="shared" si="1"/>
        <v>468230.75219999999</v>
      </c>
      <c r="H43" s="8" t="s">
        <v>116</v>
      </c>
    </row>
    <row r="44" spans="1:8" x14ac:dyDescent="0.25">
      <c r="A44" s="5" t="s">
        <v>117</v>
      </c>
      <c r="B44" s="5" t="s">
        <v>118</v>
      </c>
      <c r="C44" s="5" t="s">
        <v>104</v>
      </c>
      <c r="D44" s="5">
        <v>11</v>
      </c>
      <c r="E44" s="6">
        <v>523878.47</v>
      </c>
      <c r="F44" s="7">
        <f t="shared" si="0"/>
        <v>73342.985800000009</v>
      </c>
      <c r="G44" s="7">
        <f t="shared" si="1"/>
        <v>597221.4558</v>
      </c>
      <c r="H44" s="8" t="s">
        <v>119</v>
      </c>
    </row>
    <row r="45" spans="1:8" x14ac:dyDescent="0.25">
      <c r="A45" s="5" t="s">
        <v>120</v>
      </c>
      <c r="B45" s="5" t="s">
        <v>121</v>
      </c>
      <c r="C45" s="5" t="s">
        <v>104</v>
      </c>
      <c r="D45" s="5">
        <v>3</v>
      </c>
      <c r="E45" s="6">
        <v>2440851.4019999998</v>
      </c>
      <c r="F45" s="7">
        <f t="shared" si="0"/>
        <v>341719.19627999997</v>
      </c>
      <c r="G45" s="7">
        <f t="shared" si="1"/>
        <v>2782570.5982799996</v>
      </c>
      <c r="H45" s="8" t="s">
        <v>126</v>
      </c>
    </row>
    <row r="46" spans="1:8" x14ac:dyDescent="0.25">
      <c r="A46" s="5" t="s">
        <v>122</v>
      </c>
      <c r="B46" s="5" t="s">
        <v>123</v>
      </c>
      <c r="C46" s="5" t="s">
        <v>104</v>
      </c>
      <c r="D46" s="5">
        <v>6</v>
      </c>
      <c r="E46" s="6">
        <v>2293575.548</v>
      </c>
      <c r="F46" s="7">
        <f t="shared" si="0"/>
        <v>321100.57672000001</v>
      </c>
      <c r="G46" s="7">
        <f t="shared" si="1"/>
        <v>2614676.1247199997</v>
      </c>
      <c r="H46" s="8" t="s">
        <v>127</v>
      </c>
    </row>
    <row r="47" spans="1:8" x14ac:dyDescent="0.25">
      <c r="A47" s="5" t="s">
        <v>124</v>
      </c>
      <c r="B47" s="5" t="s">
        <v>125</v>
      </c>
      <c r="C47" s="5" t="s">
        <v>104</v>
      </c>
      <c r="D47" s="5">
        <v>5</v>
      </c>
      <c r="E47" s="6">
        <v>2440851.4019999998</v>
      </c>
      <c r="F47" s="7">
        <f t="shared" si="0"/>
        <v>341719.19627999997</v>
      </c>
      <c r="G47" s="7">
        <f t="shared" si="1"/>
        <v>2782570.5982799996</v>
      </c>
      <c r="H47" s="8" t="s">
        <v>128</v>
      </c>
    </row>
    <row r="48" spans="1:8" x14ac:dyDescent="0.25">
      <c r="A48" s="5" t="s">
        <v>129</v>
      </c>
      <c r="B48" s="5" t="s">
        <v>130</v>
      </c>
      <c r="C48" s="5" t="s">
        <v>104</v>
      </c>
      <c r="D48" s="5">
        <v>11</v>
      </c>
      <c r="E48" s="6">
        <v>1161640.6599999999</v>
      </c>
      <c r="F48" s="7">
        <f t="shared" si="0"/>
        <v>162629.6924</v>
      </c>
      <c r="G48" s="7">
        <f t="shared" si="1"/>
        <v>1324270.3524</v>
      </c>
      <c r="H48" s="8" t="s">
        <v>131</v>
      </c>
    </row>
    <row r="49" spans="1:8" x14ac:dyDescent="0.25">
      <c r="A49" s="5" t="s">
        <v>132</v>
      </c>
      <c r="B49" s="5" t="s">
        <v>133</v>
      </c>
      <c r="C49" s="5" t="s">
        <v>104</v>
      </c>
      <c r="D49" s="5">
        <v>38</v>
      </c>
      <c r="E49" s="6">
        <v>1884394.44</v>
      </c>
      <c r="F49" s="7">
        <f t="shared" si="0"/>
        <v>263815.22159999999</v>
      </c>
      <c r="G49" s="7">
        <f t="shared" si="1"/>
        <v>2148209.6615999998</v>
      </c>
      <c r="H49" s="8" t="s">
        <v>134</v>
      </c>
    </row>
    <row r="50" spans="1:8" x14ac:dyDescent="0.25">
      <c r="A50" s="5" t="s">
        <v>135</v>
      </c>
      <c r="B50" s="5" t="s">
        <v>136</v>
      </c>
      <c r="C50" s="5" t="s">
        <v>104</v>
      </c>
      <c r="D50" s="5">
        <v>27</v>
      </c>
      <c r="E50" s="6">
        <v>267411.38</v>
      </c>
      <c r="F50" s="7">
        <f t="shared" si="0"/>
        <v>37437.593200000003</v>
      </c>
      <c r="G50" s="7">
        <f t="shared" si="1"/>
        <v>304848.97320000001</v>
      </c>
      <c r="H50" s="8" t="s">
        <v>137</v>
      </c>
    </row>
    <row r="51" spans="1:8" x14ac:dyDescent="0.25">
      <c r="A51" s="5" t="s">
        <v>139</v>
      </c>
      <c r="B51" s="5" t="s">
        <v>140</v>
      </c>
      <c r="C51" s="5" t="s">
        <v>138</v>
      </c>
      <c r="D51" s="5">
        <v>19</v>
      </c>
      <c r="E51" s="6">
        <v>466792.2</v>
      </c>
      <c r="F51" s="7">
        <f t="shared" si="0"/>
        <v>65350.90800000001</v>
      </c>
      <c r="G51" s="7">
        <f t="shared" si="1"/>
        <v>532143.10800000001</v>
      </c>
      <c r="H51" s="8" t="s">
        <v>146</v>
      </c>
    </row>
    <row r="52" spans="1:8" x14ac:dyDescent="0.25">
      <c r="A52" s="5" t="s">
        <v>141</v>
      </c>
      <c r="B52" s="5" t="s">
        <v>142</v>
      </c>
      <c r="C52" s="5" t="s">
        <v>138</v>
      </c>
      <c r="D52" s="5">
        <v>15</v>
      </c>
      <c r="E52" s="6">
        <v>194496.75</v>
      </c>
      <c r="F52" s="7">
        <f t="shared" si="0"/>
        <v>27229.545000000002</v>
      </c>
      <c r="G52" s="7">
        <f t="shared" si="1"/>
        <v>221726.29500000001</v>
      </c>
      <c r="H52" s="8" t="s">
        <v>147</v>
      </c>
    </row>
    <row r="53" spans="1:8" x14ac:dyDescent="0.25">
      <c r="A53" s="9" t="s">
        <v>144</v>
      </c>
      <c r="B53" s="9" t="s">
        <v>145</v>
      </c>
      <c r="C53" s="9" t="s">
        <v>143</v>
      </c>
      <c r="D53" s="9">
        <v>13</v>
      </c>
      <c r="E53" s="10">
        <v>311467.52974999999</v>
      </c>
      <c r="F53" s="11">
        <f t="shared" si="0"/>
        <v>43605.454165000003</v>
      </c>
      <c r="G53" s="11">
        <f t="shared" si="1"/>
        <v>355072.98391499999</v>
      </c>
      <c r="H53" s="8" t="s">
        <v>148</v>
      </c>
    </row>
    <row r="54" spans="1:8" x14ac:dyDescent="0.25">
      <c r="A54" s="9" t="s">
        <v>149</v>
      </c>
      <c r="B54" s="9" t="s">
        <v>150</v>
      </c>
      <c r="C54" s="9" t="s">
        <v>143</v>
      </c>
      <c r="D54" s="9">
        <v>15</v>
      </c>
      <c r="E54" s="10">
        <v>1211262.6156899999</v>
      </c>
      <c r="F54" s="11">
        <f t="shared" si="0"/>
        <v>169576.76619659999</v>
      </c>
      <c r="G54" s="11">
        <f t="shared" si="1"/>
        <v>1380839.3818865998</v>
      </c>
      <c r="H54" s="8" t="s">
        <v>155</v>
      </c>
    </row>
    <row r="55" spans="1:8" x14ac:dyDescent="0.25">
      <c r="A55" s="9" t="s">
        <v>151</v>
      </c>
      <c r="B55" s="9" t="s">
        <v>152</v>
      </c>
      <c r="C55" s="9" t="s">
        <v>143</v>
      </c>
      <c r="D55" s="9">
        <v>30</v>
      </c>
      <c r="E55" s="10">
        <v>519112.54957999999</v>
      </c>
      <c r="F55" s="11">
        <f t="shared" si="0"/>
        <v>72675.756941200001</v>
      </c>
      <c r="G55" s="11">
        <f t="shared" si="1"/>
        <v>591788.30652119999</v>
      </c>
      <c r="H55" s="8" t="s">
        <v>156</v>
      </c>
    </row>
    <row r="56" spans="1:8" x14ac:dyDescent="0.25">
      <c r="A56" s="5" t="s">
        <v>153</v>
      </c>
      <c r="B56" s="5" t="s">
        <v>154</v>
      </c>
      <c r="C56" s="5" t="s">
        <v>143</v>
      </c>
      <c r="D56" s="5">
        <v>81</v>
      </c>
      <c r="E56" s="6">
        <v>103428.73744</v>
      </c>
      <c r="F56" s="7">
        <f t="shared" si="0"/>
        <v>14480.023241600002</v>
      </c>
      <c r="G56" s="7">
        <f t="shared" si="1"/>
        <v>117908.7606816</v>
      </c>
      <c r="H56" s="8" t="s">
        <v>157</v>
      </c>
    </row>
    <row r="57" spans="1:8" x14ac:dyDescent="0.25">
      <c r="A57" s="5" t="s">
        <v>158</v>
      </c>
      <c r="B57" s="5" t="s">
        <v>159</v>
      </c>
      <c r="C57" s="5" t="s">
        <v>143</v>
      </c>
      <c r="D57" s="5">
        <v>111</v>
      </c>
      <c r="E57" s="6">
        <v>328345.19822999998</v>
      </c>
      <c r="F57" s="7">
        <f t="shared" si="0"/>
        <v>45968.327752199999</v>
      </c>
      <c r="G57" s="7">
        <f t="shared" si="1"/>
        <v>374313.52598219999</v>
      </c>
      <c r="H57" s="8" t="s">
        <v>162</v>
      </c>
    </row>
    <row r="58" spans="1:8" x14ac:dyDescent="0.25">
      <c r="A58" s="5" t="s">
        <v>160</v>
      </c>
      <c r="B58" s="5" t="s">
        <v>161</v>
      </c>
      <c r="C58" s="5" t="s">
        <v>143</v>
      </c>
      <c r="D58" s="5">
        <v>27</v>
      </c>
      <c r="E58" s="6">
        <v>418640.12774999999</v>
      </c>
      <c r="F58" s="7">
        <f t="shared" si="0"/>
        <v>58609.617885000007</v>
      </c>
      <c r="G58" s="7">
        <f t="shared" si="1"/>
        <v>477249.745635</v>
      </c>
      <c r="H58" s="8" t="s">
        <v>163</v>
      </c>
    </row>
    <row r="59" spans="1:8" x14ac:dyDescent="0.25">
      <c r="A59" s="5" t="s">
        <v>164</v>
      </c>
      <c r="B59" s="5" t="s">
        <v>165</v>
      </c>
      <c r="C59" s="5" t="s">
        <v>143</v>
      </c>
      <c r="D59" s="5">
        <v>147</v>
      </c>
      <c r="E59" s="6">
        <v>439860.12</v>
      </c>
      <c r="F59" s="7">
        <f t="shared" si="0"/>
        <v>61580.416800000006</v>
      </c>
      <c r="G59" s="7">
        <f t="shared" si="1"/>
        <v>501440.5368</v>
      </c>
      <c r="H59" s="8" t="s">
        <v>166</v>
      </c>
    </row>
    <row r="60" spans="1:8" x14ac:dyDescent="0.25">
      <c r="A60" s="5" t="s">
        <v>167</v>
      </c>
      <c r="B60" s="5" t="s">
        <v>168</v>
      </c>
      <c r="C60" s="5" t="s">
        <v>169</v>
      </c>
      <c r="D60" s="5">
        <v>74</v>
      </c>
      <c r="E60" s="6">
        <v>32040.49</v>
      </c>
      <c r="F60" s="7">
        <f t="shared" si="0"/>
        <v>4485.6686000000009</v>
      </c>
      <c r="G60" s="7">
        <f t="shared" si="1"/>
        <v>36526.158600000002</v>
      </c>
      <c r="H60" s="8" t="s">
        <v>170</v>
      </c>
    </row>
    <row r="61" spans="1:8" x14ac:dyDescent="0.25">
      <c r="A61" s="5" t="s">
        <v>171</v>
      </c>
      <c r="B61" s="5" t="s">
        <v>172</v>
      </c>
      <c r="C61" s="5" t="s">
        <v>169</v>
      </c>
      <c r="D61" s="5">
        <v>2</v>
      </c>
      <c r="E61" s="6">
        <v>2300.02</v>
      </c>
      <c r="F61" s="7">
        <f t="shared" si="0"/>
        <v>322.00280000000004</v>
      </c>
      <c r="G61" s="7">
        <f t="shared" si="1"/>
        <v>2622.0228000000002</v>
      </c>
      <c r="H61" s="8" t="s">
        <v>173</v>
      </c>
    </row>
    <row r="62" spans="1:8" x14ac:dyDescent="0.25">
      <c r="A62" s="5" t="s">
        <v>174</v>
      </c>
      <c r="B62" s="5" t="s">
        <v>175</v>
      </c>
      <c r="C62" s="5" t="s">
        <v>169</v>
      </c>
      <c r="D62" s="5">
        <v>40</v>
      </c>
      <c r="E62" s="6">
        <v>31767.8</v>
      </c>
      <c r="F62" s="7">
        <f t="shared" si="0"/>
        <v>4447.4920000000002</v>
      </c>
      <c r="G62" s="7">
        <f t="shared" si="1"/>
        <v>36215.292000000001</v>
      </c>
      <c r="H62" s="8" t="s">
        <v>176</v>
      </c>
    </row>
    <row r="63" spans="1:8" x14ac:dyDescent="0.25">
      <c r="A63" s="5" t="s">
        <v>177</v>
      </c>
      <c r="B63" s="5" t="s">
        <v>178</v>
      </c>
      <c r="C63" s="5" t="s">
        <v>169</v>
      </c>
      <c r="D63" s="5">
        <v>4</v>
      </c>
      <c r="E63" s="6">
        <v>87492.22</v>
      </c>
      <c r="F63" s="7">
        <f t="shared" si="0"/>
        <v>12248.910800000001</v>
      </c>
      <c r="G63" s="7">
        <f t="shared" si="1"/>
        <v>99741.130799999999</v>
      </c>
      <c r="H63" s="8" t="s">
        <v>179</v>
      </c>
    </row>
    <row r="64" spans="1:8" x14ac:dyDescent="0.25">
      <c r="A64" s="5" t="s">
        <v>180</v>
      </c>
      <c r="B64" s="5" t="s">
        <v>181</v>
      </c>
      <c r="C64" s="5" t="s">
        <v>169</v>
      </c>
      <c r="D64" s="5">
        <v>87</v>
      </c>
      <c r="E64" s="6">
        <v>16606.669999999998</v>
      </c>
      <c r="F64" s="7">
        <f t="shared" si="0"/>
        <v>2324.9337999999998</v>
      </c>
      <c r="G64" s="7">
        <f t="shared" si="1"/>
        <v>18931.603799999997</v>
      </c>
      <c r="H64" s="8" t="s">
        <v>184</v>
      </c>
    </row>
    <row r="65" spans="1:8" x14ac:dyDescent="0.25">
      <c r="A65" s="5" t="s">
        <v>182</v>
      </c>
      <c r="B65" s="5" t="s">
        <v>183</v>
      </c>
      <c r="C65" s="5" t="s">
        <v>169</v>
      </c>
      <c r="D65" s="5">
        <v>1</v>
      </c>
      <c r="E65" s="6">
        <v>3508.77</v>
      </c>
      <c r="F65" s="7">
        <f t="shared" si="0"/>
        <v>491.22780000000006</v>
      </c>
      <c r="G65" s="7">
        <f t="shared" si="1"/>
        <v>3999.9978000000001</v>
      </c>
      <c r="H65" s="8" t="s">
        <v>185</v>
      </c>
    </row>
    <row r="66" spans="1:8" x14ac:dyDescent="0.25">
      <c r="A66" s="5" t="s">
        <v>186</v>
      </c>
      <c r="B66" s="5" t="s">
        <v>187</v>
      </c>
      <c r="C66" s="5" t="s">
        <v>169</v>
      </c>
      <c r="D66" s="5">
        <v>24</v>
      </c>
      <c r="E66" s="6">
        <v>3508.77</v>
      </c>
      <c r="F66" s="7">
        <f t="shared" si="0"/>
        <v>491.22780000000006</v>
      </c>
      <c r="G66" s="7">
        <f t="shared" si="1"/>
        <v>3999.9978000000001</v>
      </c>
      <c r="H66" s="8" t="s">
        <v>190</v>
      </c>
    </row>
    <row r="67" spans="1:8" x14ac:dyDescent="0.25">
      <c r="A67" s="5" t="s">
        <v>188</v>
      </c>
      <c r="B67" s="5" t="s">
        <v>189</v>
      </c>
      <c r="C67" s="5" t="s">
        <v>169</v>
      </c>
      <c r="D67" s="5">
        <v>7</v>
      </c>
      <c r="E67" s="6">
        <v>1754.39</v>
      </c>
      <c r="F67" s="7">
        <f t="shared" si="0"/>
        <v>245.61460000000002</v>
      </c>
      <c r="G67" s="7">
        <f t="shared" si="1"/>
        <v>2000.0046000000002</v>
      </c>
      <c r="H67" s="8" t="s">
        <v>191</v>
      </c>
    </row>
    <row r="68" spans="1:8" x14ac:dyDescent="0.25">
      <c r="A68" s="5" t="s">
        <v>192</v>
      </c>
      <c r="B68" s="5" t="s">
        <v>193</v>
      </c>
      <c r="C68" s="5" t="s">
        <v>169</v>
      </c>
      <c r="D68" s="5">
        <v>37</v>
      </c>
      <c r="E68" s="6">
        <v>36617.699999999997</v>
      </c>
      <c r="F68" s="7">
        <f t="shared" si="0"/>
        <v>5126.4780000000001</v>
      </c>
      <c r="G68" s="7">
        <f t="shared" si="1"/>
        <v>41744.178</v>
      </c>
      <c r="H68" s="8" t="s">
        <v>198</v>
      </c>
    </row>
    <row r="69" spans="1:8" x14ac:dyDescent="0.25">
      <c r="A69" s="5" t="s">
        <v>194</v>
      </c>
      <c r="B69" s="5" t="s">
        <v>195</v>
      </c>
      <c r="C69" s="5" t="s">
        <v>169</v>
      </c>
      <c r="D69" s="5">
        <v>31</v>
      </c>
      <c r="E69" s="6">
        <v>5263.16</v>
      </c>
      <c r="F69" s="7">
        <f t="shared" si="0"/>
        <v>736.8424</v>
      </c>
      <c r="G69" s="7">
        <f t="shared" si="1"/>
        <v>6000.0023999999994</v>
      </c>
      <c r="H69" s="8" t="s">
        <v>199</v>
      </c>
    </row>
    <row r="70" spans="1:8" x14ac:dyDescent="0.25">
      <c r="A70" s="5" t="s">
        <v>196</v>
      </c>
      <c r="B70" s="5" t="s">
        <v>197</v>
      </c>
      <c r="C70" s="5" t="s">
        <v>169</v>
      </c>
      <c r="D70" s="5">
        <v>33</v>
      </c>
      <c r="E70" s="6">
        <v>5263.16</v>
      </c>
      <c r="F70" s="7">
        <f t="shared" si="0"/>
        <v>736.8424</v>
      </c>
      <c r="G70" s="7">
        <f t="shared" si="1"/>
        <v>6000.0023999999994</v>
      </c>
      <c r="H70" s="8" t="s">
        <v>200</v>
      </c>
    </row>
    <row r="71" spans="1:8" x14ac:dyDescent="0.25">
      <c r="A71" s="5" t="s">
        <v>201</v>
      </c>
      <c r="B71" s="5" t="s">
        <v>202</v>
      </c>
      <c r="C71" s="5" t="s">
        <v>169</v>
      </c>
      <c r="D71" s="5">
        <v>15</v>
      </c>
      <c r="E71" s="6">
        <v>3508.77</v>
      </c>
      <c r="F71" s="7">
        <f t="shared" si="0"/>
        <v>491.22780000000006</v>
      </c>
      <c r="G71" s="7">
        <f t="shared" si="1"/>
        <v>3999.9978000000001</v>
      </c>
      <c r="H71" s="8" t="s">
        <v>203</v>
      </c>
    </row>
    <row r="72" spans="1:8" x14ac:dyDescent="0.25">
      <c r="A72" s="5" t="s">
        <v>204</v>
      </c>
      <c r="B72" s="5" t="s">
        <v>205</v>
      </c>
      <c r="C72" s="5" t="s">
        <v>169</v>
      </c>
      <c r="D72" s="5">
        <v>56</v>
      </c>
      <c r="E72" s="6">
        <v>4982</v>
      </c>
      <c r="F72" s="7">
        <f t="shared" si="0"/>
        <v>697.48</v>
      </c>
      <c r="G72" s="7">
        <f t="shared" si="1"/>
        <v>5679.48</v>
      </c>
      <c r="H72" s="8" t="s">
        <v>208</v>
      </c>
    </row>
    <row r="73" spans="1:8" x14ac:dyDescent="0.25">
      <c r="A73" s="5" t="s">
        <v>206</v>
      </c>
      <c r="B73" s="5" t="s">
        <v>207</v>
      </c>
      <c r="C73" s="5" t="s">
        <v>169</v>
      </c>
      <c r="D73" s="5">
        <v>7</v>
      </c>
      <c r="E73" s="6">
        <v>9023.6474999999991</v>
      </c>
      <c r="F73" s="7">
        <f t="shared" si="0"/>
        <v>1263.3106499999999</v>
      </c>
      <c r="G73" s="7">
        <f t="shared" si="1"/>
        <v>10286.958149999999</v>
      </c>
      <c r="H73" s="8" t="s">
        <v>209</v>
      </c>
    </row>
    <row r="74" spans="1:8" x14ac:dyDescent="0.25">
      <c r="A74" s="5" t="s">
        <v>210</v>
      </c>
      <c r="B74" s="5" t="s">
        <v>211</v>
      </c>
      <c r="C74" s="5" t="s">
        <v>169</v>
      </c>
      <c r="D74" s="5">
        <v>87</v>
      </c>
      <c r="E74" s="6">
        <v>4982</v>
      </c>
      <c r="F74" s="7">
        <f t="shared" ref="F74:F137" si="2">E74*0.14</f>
        <v>697.48</v>
      </c>
      <c r="G74" s="7">
        <f t="shared" ref="G74:G137" si="3">SUM(E74:F74)</f>
        <v>5679.48</v>
      </c>
      <c r="H74" s="8" t="s">
        <v>216</v>
      </c>
    </row>
    <row r="75" spans="1:8" x14ac:dyDescent="0.25">
      <c r="A75" s="5" t="s">
        <v>212</v>
      </c>
      <c r="B75" s="5" t="s">
        <v>213</v>
      </c>
      <c r="C75" s="5" t="s">
        <v>169</v>
      </c>
      <c r="D75" s="5">
        <v>2</v>
      </c>
      <c r="E75" s="6">
        <v>12031.53</v>
      </c>
      <c r="F75" s="7">
        <f t="shared" si="2"/>
        <v>1684.4142000000002</v>
      </c>
      <c r="G75" s="7">
        <f t="shared" si="3"/>
        <v>13715.944200000002</v>
      </c>
      <c r="H75" s="8" t="s">
        <v>217</v>
      </c>
    </row>
    <row r="76" spans="1:8" x14ac:dyDescent="0.25">
      <c r="A76" s="5" t="s">
        <v>214</v>
      </c>
      <c r="B76" s="5" t="s">
        <v>215</v>
      </c>
      <c r="C76" s="5" t="s">
        <v>169</v>
      </c>
      <c r="D76" s="5">
        <v>7</v>
      </c>
      <c r="E76" s="6">
        <v>9023.6474999999991</v>
      </c>
      <c r="F76" s="7">
        <f t="shared" si="2"/>
        <v>1263.3106499999999</v>
      </c>
      <c r="G76" s="7">
        <f t="shared" si="3"/>
        <v>10286.958149999999</v>
      </c>
      <c r="H76" s="8" t="s">
        <v>218</v>
      </c>
    </row>
    <row r="77" spans="1:8" x14ac:dyDescent="0.25">
      <c r="A77" s="5" t="s">
        <v>219</v>
      </c>
      <c r="B77" s="5" t="s">
        <v>220</v>
      </c>
      <c r="C77" s="5" t="s">
        <v>169</v>
      </c>
      <c r="D77" s="5">
        <v>21</v>
      </c>
      <c r="E77" s="6">
        <v>18047.294999999998</v>
      </c>
      <c r="F77" s="7">
        <f t="shared" si="2"/>
        <v>2526.6212999999998</v>
      </c>
      <c r="G77" s="7">
        <f t="shared" si="3"/>
        <v>20573.916299999997</v>
      </c>
      <c r="H77" s="8" t="s">
        <v>225</v>
      </c>
    </row>
    <row r="78" spans="1:8" x14ac:dyDescent="0.25">
      <c r="A78" s="5" t="s">
        <v>221</v>
      </c>
      <c r="B78" s="5" t="s">
        <v>222</v>
      </c>
      <c r="C78" s="5" t="s">
        <v>169</v>
      </c>
      <c r="D78" s="5">
        <v>17</v>
      </c>
      <c r="E78" s="6">
        <v>18047.294999999998</v>
      </c>
      <c r="F78" s="7">
        <f t="shared" si="2"/>
        <v>2526.6212999999998</v>
      </c>
      <c r="G78" s="7">
        <f t="shared" si="3"/>
        <v>20573.916299999997</v>
      </c>
      <c r="H78" s="8" t="s">
        <v>226</v>
      </c>
    </row>
    <row r="79" spans="1:8" x14ac:dyDescent="0.25">
      <c r="A79" s="5" t="s">
        <v>223</v>
      </c>
      <c r="B79" s="5" t="s">
        <v>224</v>
      </c>
      <c r="C79" s="5" t="s">
        <v>169</v>
      </c>
      <c r="D79" s="5">
        <v>82</v>
      </c>
      <c r="E79" s="6">
        <v>9964</v>
      </c>
      <c r="F79" s="7">
        <f t="shared" si="2"/>
        <v>1394.96</v>
      </c>
      <c r="G79" s="7">
        <f t="shared" si="3"/>
        <v>11358.96</v>
      </c>
      <c r="H79" s="8" t="s">
        <v>227</v>
      </c>
    </row>
    <row r="80" spans="1:8" x14ac:dyDescent="0.25">
      <c r="A80" s="5" t="s">
        <v>228</v>
      </c>
      <c r="B80" s="5" t="s">
        <v>229</v>
      </c>
      <c r="C80" s="5" t="s">
        <v>169</v>
      </c>
      <c r="D80" s="5">
        <v>18</v>
      </c>
      <c r="E80" s="6">
        <v>701.75</v>
      </c>
      <c r="F80" s="7">
        <f t="shared" si="2"/>
        <v>98.245000000000005</v>
      </c>
      <c r="G80" s="7">
        <f t="shared" si="3"/>
        <v>799.995</v>
      </c>
      <c r="H80" s="8" t="s">
        <v>248</v>
      </c>
    </row>
    <row r="81" spans="1:8" x14ac:dyDescent="0.25">
      <c r="A81" s="5" t="s">
        <v>230</v>
      </c>
      <c r="B81" s="5" t="s">
        <v>231</v>
      </c>
      <c r="C81" s="5" t="s">
        <v>169</v>
      </c>
      <c r="D81" s="5">
        <v>33</v>
      </c>
      <c r="E81" s="6">
        <v>13750.32</v>
      </c>
      <c r="F81" s="7">
        <f t="shared" si="2"/>
        <v>1925.0448000000001</v>
      </c>
      <c r="G81" s="7">
        <f t="shared" si="3"/>
        <v>15675.364799999999</v>
      </c>
      <c r="H81" s="8" t="s">
        <v>249</v>
      </c>
    </row>
    <row r="82" spans="1:8" x14ac:dyDescent="0.25">
      <c r="A82" s="5" t="s">
        <v>232</v>
      </c>
      <c r="B82" s="5" t="s">
        <v>233</v>
      </c>
      <c r="C82" s="5" t="s">
        <v>169</v>
      </c>
      <c r="D82" s="5">
        <v>21</v>
      </c>
      <c r="E82" s="6">
        <v>701.75</v>
      </c>
      <c r="F82" s="7">
        <f t="shared" si="2"/>
        <v>98.245000000000005</v>
      </c>
      <c r="G82" s="7">
        <f t="shared" si="3"/>
        <v>799.995</v>
      </c>
      <c r="H82" s="8" t="s">
        <v>250</v>
      </c>
    </row>
    <row r="83" spans="1:8" x14ac:dyDescent="0.25">
      <c r="A83" s="5" t="s">
        <v>234</v>
      </c>
      <c r="B83" s="5" t="s">
        <v>235</v>
      </c>
      <c r="C83" s="5" t="s">
        <v>169</v>
      </c>
      <c r="D83" s="5">
        <v>6</v>
      </c>
      <c r="E83" s="6">
        <v>12031.53</v>
      </c>
      <c r="F83" s="7">
        <f t="shared" si="2"/>
        <v>1684.4142000000002</v>
      </c>
      <c r="G83" s="7">
        <f t="shared" si="3"/>
        <v>13715.944200000002</v>
      </c>
      <c r="H83" s="8" t="s">
        <v>251</v>
      </c>
    </row>
    <row r="84" spans="1:8" x14ac:dyDescent="0.25">
      <c r="A84" s="5" t="s">
        <v>236</v>
      </c>
      <c r="B84" s="5" t="s">
        <v>237</v>
      </c>
      <c r="C84" s="5" t="s">
        <v>169</v>
      </c>
      <c r="D84" s="5">
        <v>20</v>
      </c>
      <c r="E84" s="6">
        <v>701.75</v>
      </c>
      <c r="F84" s="7">
        <f t="shared" si="2"/>
        <v>98.245000000000005</v>
      </c>
      <c r="G84" s="7">
        <f t="shared" si="3"/>
        <v>799.995</v>
      </c>
      <c r="H84" s="8" t="s">
        <v>252</v>
      </c>
    </row>
    <row r="85" spans="1:8" x14ac:dyDescent="0.25">
      <c r="A85" s="5" t="s">
        <v>238</v>
      </c>
      <c r="B85" s="5" t="s">
        <v>239</v>
      </c>
      <c r="C85" s="5" t="s">
        <v>169</v>
      </c>
      <c r="D85" s="5">
        <v>38</v>
      </c>
      <c r="E85" s="6">
        <v>13750.32</v>
      </c>
      <c r="F85" s="7">
        <f t="shared" si="2"/>
        <v>1925.0448000000001</v>
      </c>
      <c r="G85" s="7">
        <f t="shared" si="3"/>
        <v>15675.364799999999</v>
      </c>
      <c r="H85" s="8" t="s">
        <v>253</v>
      </c>
    </row>
    <row r="86" spans="1:8" x14ac:dyDescent="0.25">
      <c r="A86" s="5" t="s">
        <v>240</v>
      </c>
      <c r="B86" s="5" t="s">
        <v>241</v>
      </c>
      <c r="C86" s="5" t="s">
        <v>169</v>
      </c>
      <c r="D86" s="5">
        <v>28</v>
      </c>
      <c r="E86" s="6">
        <v>13750.32</v>
      </c>
      <c r="F86" s="7">
        <f t="shared" si="2"/>
        <v>1925.0448000000001</v>
      </c>
      <c r="G86" s="7">
        <f t="shared" si="3"/>
        <v>15675.364799999999</v>
      </c>
      <c r="H86" s="8" t="s">
        <v>254</v>
      </c>
    </row>
    <row r="87" spans="1:8" x14ac:dyDescent="0.25">
      <c r="A87" s="5" t="s">
        <v>242</v>
      </c>
      <c r="B87" s="5" t="s">
        <v>243</v>
      </c>
      <c r="C87" s="5" t="s">
        <v>169</v>
      </c>
      <c r="D87" s="5">
        <v>39</v>
      </c>
      <c r="E87" s="6">
        <v>29859.0075</v>
      </c>
      <c r="F87" s="7">
        <f t="shared" si="2"/>
        <v>4180.2610500000001</v>
      </c>
      <c r="G87" s="7">
        <f t="shared" si="3"/>
        <v>34039.268550000001</v>
      </c>
      <c r="H87" s="8" t="s">
        <v>255</v>
      </c>
    </row>
    <row r="88" spans="1:8" x14ac:dyDescent="0.25">
      <c r="A88" s="5" t="s">
        <v>244</v>
      </c>
      <c r="B88" s="5" t="s">
        <v>245</v>
      </c>
      <c r="C88" s="5" t="s">
        <v>169</v>
      </c>
      <c r="D88" s="5">
        <v>78</v>
      </c>
      <c r="E88" s="6">
        <v>4317.7299999999996</v>
      </c>
      <c r="F88" s="7">
        <f t="shared" si="2"/>
        <v>604.48220000000003</v>
      </c>
      <c r="G88" s="7">
        <f t="shared" si="3"/>
        <v>4922.2121999999999</v>
      </c>
      <c r="H88" s="8" t="s">
        <v>256</v>
      </c>
    </row>
    <row r="89" spans="1:8" x14ac:dyDescent="0.25">
      <c r="A89" s="5" t="s">
        <v>246</v>
      </c>
      <c r="B89" s="5" t="s">
        <v>247</v>
      </c>
      <c r="C89" s="5" t="s">
        <v>169</v>
      </c>
      <c r="D89" s="5">
        <v>23</v>
      </c>
      <c r="E89" s="6">
        <v>10212.90539</v>
      </c>
      <c r="F89" s="7">
        <f t="shared" si="2"/>
        <v>1429.8067546000002</v>
      </c>
      <c r="G89" s="7">
        <f t="shared" si="3"/>
        <v>11642.7121446</v>
      </c>
      <c r="H89" s="8" t="s">
        <v>257</v>
      </c>
    </row>
    <row r="90" spans="1:8" x14ac:dyDescent="0.25">
      <c r="A90" s="5" t="s">
        <v>258</v>
      </c>
      <c r="B90" s="5" t="s">
        <v>259</v>
      </c>
      <c r="C90" s="5" t="s">
        <v>169</v>
      </c>
      <c r="D90" s="5">
        <v>6</v>
      </c>
      <c r="E90" s="6">
        <v>10212.90539</v>
      </c>
      <c r="F90" s="7">
        <f t="shared" si="2"/>
        <v>1429.8067546000002</v>
      </c>
      <c r="G90" s="7">
        <f t="shared" si="3"/>
        <v>11642.7121446</v>
      </c>
      <c r="H90" s="8" t="s">
        <v>262</v>
      </c>
    </row>
    <row r="91" spans="1:8" x14ac:dyDescent="0.25">
      <c r="A91" s="5" t="s">
        <v>260</v>
      </c>
      <c r="B91" s="5" t="s">
        <v>261</v>
      </c>
      <c r="C91" s="5" t="s">
        <v>169</v>
      </c>
      <c r="D91" s="5">
        <v>25</v>
      </c>
      <c r="E91" s="6">
        <v>701.75</v>
      </c>
      <c r="F91" s="7">
        <f t="shared" si="2"/>
        <v>98.245000000000005</v>
      </c>
      <c r="G91" s="7">
        <f t="shared" si="3"/>
        <v>799.995</v>
      </c>
      <c r="H91" s="8" t="s">
        <v>263</v>
      </c>
    </row>
    <row r="92" spans="1:8" x14ac:dyDescent="0.25">
      <c r="A92" s="5" t="s">
        <v>264</v>
      </c>
      <c r="B92" s="5" t="s">
        <v>265</v>
      </c>
      <c r="C92" s="5" t="s">
        <v>169</v>
      </c>
      <c r="D92" s="5">
        <v>32</v>
      </c>
      <c r="E92" s="6">
        <v>42250</v>
      </c>
      <c r="F92" s="7">
        <f t="shared" si="2"/>
        <v>5915.0000000000009</v>
      </c>
      <c r="G92" s="7">
        <f t="shared" si="3"/>
        <v>48165</v>
      </c>
      <c r="H92" s="8" t="s">
        <v>266</v>
      </c>
    </row>
    <row r="93" spans="1:8" x14ac:dyDescent="0.25">
      <c r="A93" s="5" t="s">
        <v>267</v>
      </c>
      <c r="B93" s="5" t="s">
        <v>268</v>
      </c>
      <c r="C93" s="5" t="s">
        <v>169</v>
      </c>
      <c r="D93" s="5">
        <v>9</v>
      </c>
      <c r="E93" s="6">
        <v>30078.825000000001</v>
      </c>
      <c r="F93" s="7">
        <f t="shared" si="2"/>
        <v>4211.0355000000009</v>
      </c>
      <c r="G93" s="7">
        <f t="shared" si="3"/>
        <v>34289.860500000003</v>
      </c>
      <c r="H93" s="8" t="s">
        <v>269</v>
      </c>
    </row>
    <row r="94" spans="1:8" x14ac:dyDescent="0.25">
      <c r="A94" s="5" t="s">
        <v>270</v>
      </c>
      <c r="B94" s="5" t="s">
        <v>271</v>
      </c>
      <c r="C94" s="5" t="s">
        <v>169</v>
      </c>
      <c r="D94" s="5">
        <v>29</v>
      </c>
      <c r="E94" s="6">
        <v>3508.77</v>
      </c>
      <c r="F94" s="7">
        <f t="shared" si="2"/>
        <v>491.22780000000006</v>
      </c>
      <c r="G94" s="7">
        <f t="shared" si="3"/>
        <v>3999.9978000000001</v>
      </c>
      <c r="H94" s="8" t="s">
        <v>274</v>
      </c>
    </row>
    <row r="95" spans="1:8" x14ac:dyDescent="0.25">
      <c r="A95" s="5" t="s">
        <v>272</v>
      </c>
      <c r="B95" s="5" t="s">
        <v>273</v>
      </c>
      <c r="C95" s="5" t="s">
        <v>169</v>
      </c>
      <c r="D95" s="5">
        <v>13</v>
      </c>
      <c r="E95" s="6">
        <v>3508.77</v>
      </c>
      <c r="F95" s="7">
        <f t="shared" si="2"/>
        <v>491.22780000000006</v>
      </c>
      <c r="G95" s="7">
        <f t="shared" si="3"/>
        <v>3999.9978000000001</v>
      </c>
      <c r="H95" s="8" t="s">
        <v>275</v>
      </c>
    </row>
    <row r="96" spans="1:8" x14ac:dyDescent="0.25">
      <c r="A96" s="5" t="s">
        <v>276</v>
      </c>
      <c r="B96" s="5" t="s">
        <v>277</v>
      </c>
      <c r="C96" s="5" t="s">
        <v>169</v>
      </c>
      <c r="D96" s="5">
        <v>17</v>
      </c>
      <c r="E96" s="6">
        <v>5263.16</v>
      </c>
      <c r="F96" s="7">
        <f t="shared" si="2"/>
        <v>736.8424</v>
      </c>
      <c r="G96" s="7">
        <f t="shared" si="3"/>
        <v>6000.0023999999994</v>
      </c>
      <c r="H96" s="8" t="s">
        <v>282</v>
      </c>
    </row>
    <row r="97" spans="1:8" x14ac:dyDescent="0.25">
      <c r="A97" s="5" t="s">
        <v>278</v>
      </c>
      <c r="B97" s="5" t="s">
        <v>279</v>
      </c>
      <c r="C97" s="5" t="s">
        <v>169</v>
      </c>
      <c r="D97" s="5">
        <v>28</v>
      </c>
      <c r="E97" s="6">
        <v>5263.16</v>
      </c>
      <c r="F97" s="7">
        <f t="shared" si="2"/>
        <v>736.8424</v>
      </c>
      <c r="G97" s="7">
        <f t="shared" si="3"/>
        <v>6000.0023999999994</v>
      </c>
      <c r="H97" s="8" t="s">
        <v>283</v>
      </c>
    </row>
    <row r="98" spans="1:8" x14ac:dyDescent="0.25">
      <c r="A98" s="5" t="s">
        <v>280</v>
      </c>
      <c r="B98" s="5" t="s">
        <v>281</v>
      </c>
      <c r="C98" s="5" t="s">
        <v>169</v>
      </c>
      <c r="D98" s="5">
        <v>6</v>
      </c>
      <c r="E98" s="6">
        <v>5263.16</v>
      </c>
      <c r="F98" s="7">
        <f t="shared" si="2"/>
        <v>736.8424</v>
      </c>
      <c r="G98" s="7">
        <f t="shared" si="3"/>
        <v>6000.0023999999994</v>
      </c>
      <c r="H98" s="8" t="s">
        <v>284</v>
      </c>
    </row>
    <row r="99" spans="1:8" x14ac:dyDescent="0.25">
      <c r="A99" s="5" t="s">
        <v>285</v>
      </c>
      <c r="B99" s="5" t="s">
        <v>286</v>
      </c>
      <c r="C99" s="5" t="s">
        <v>169</v>
      </c>
      <c r="D99" s="5">
        <v>20</v>
      </c>
      <c r="E99" s="6">
        <v>3508.77</v>
      </c>
      <c r="F99" s="7">
        <f t="shared" si="2"/>
        <v>491.22780000000006</v>
      </c>
      <c r="G99" s="7">
        <f t="shared" si="3"/>
        <v>3999.9978000000001</v>
      </c>
      <c r="H99" s="8" t="s">
        <v>287</v>
      </c>
    </row>
    <row r="100" spans="1:8" x14ac:dyDescent="0.25">
      <c r="A100" s="5" t="s">
        <v>288</v>
      </c>
      <c r="B100" s="5" t="s">
        <v>289</v>
      </c>
      <c r="C100" s="5" t="s">
        <v>169</v>
      </c>
      <c r="D100" s="5">
        <v>5</v>
      </c>
      <c r="E100" s="6">
        <v>16606.669999999998</v>
      </c>
      <c r="F100" s="7">
        <f t="shared" si="2"/>
        <v>2324.9337999999998</v>
      </c>
      <c r="G100" s="7">
        <f t="shared" si="3"/>
        <v>18931.603799999997</v>
      </c>
      <c r="H100" s="8" t="s">
        <v>292</v>
      </c>
    </row>
    <row r="101" spans="1:8" x14ac:dyDescent="0.25">
      <c r="A101" s="5" t="s">
        <v>290</v>
      </c>
      <c r="B101" s="5" t="s">
        <v>291</v>
      </c>
      <c r="C101" s="5" t="s">
        <v>169</v>
      </c>
      <c r="D101" s="5">
        <v>19</v>
      </c>
      <c r="E101" s="6">
        <v>24520.78125</v>
      </c>
      <c r="F101" s="7">
        <f t="shared" si="2"/>
        <v>3432.9093750000002</v>
      </c>
      <c r="G101" s="7">
        <f t="shared" si="3"/>
        <v>27953.690624999999</v>
      </c>
      <c r="H101" s="8" t="s">
        <v>293</v>
      </c>
    </row>
    <row r="102" spans="1:8" x14ac:dyDescent="0.25">
      <c r="A102" s="5" t="s">
        <v>294</v>
      </c>
      <c r="B102" s="5" t="s">
        <v>295</v>
      </c>
      <c r="C102" s="5" t="s">
        <v>169</v>
      </c>
      <c r="D102" s="5">
        <v>21</v>
      </c>
      <c r="E102" s="6">
        <v>22232.18</v>
      </c>
      <c r="F102" s="7">
        <f t="shared" si="2"/>
        <v>3112.5052000000005</v>
      </c>
      <c r="G102" s="7">
        <f t="shared" si="3"/>
        <v>25344.6852</v>
      </c>
      <c r="H102" s="8" t="s">
        <v>296</v>
      </c>
    </row>
    <row r="103" spans="1:8" x14ac:dyDescent="0.25">
      <c r="A103" s="5" t="s">
        <v>297</v>
      </c>
      <c r="B103" s="5" t="s">
        <v>298</v>
      </c>
      <c r="C103" s="5" t="s">
        <v>169</v>
      </c>
      <c r="D103" s="5">
        <v>36</v>
      </c>
      <c r="E103" s="6">
        <v>8892.8700000000008</v>
      </c>
      <c r="F103" s="7">
        <f t="shared" si="2"/>
        <v>1245.0018000000002</v>
      </c>
      <c r="G103" s="7">
        <f t="shared" si="3"/>
        <v>10137.871800000001</v>
      </c>
      <c r="H103" s="8" t="s">
        <v>299</v>
      </c>
    </row>
    <row r="104" spans="1:8" x14ac:dyDescent="0.25">
      <c r="A104" s="5" t="s">
        <v>300</v>
      </c>
      <c r="B104" s="5" t="s">
        <v>301</v>
      </c>
      <c r="C104" s="5" t="s">
        <v>169</v>
      </c>
      <c r="D104" s="5">
        <v>62</v>
      </c>
      <c r="E104" s="6">
        <v>17659.470150000001</v>
      </c>
      <c r="F104" s="7">
        <f t="shared" si="2"/>
        <v>2472.3258210000004</v>
      </c>
      <c r="G104" s="7">
        <f t="shared" si="3"/>
        <v>20131.795971</v>
      </c>
      <c r="H104" s="8" t="s">
        <v>302</v>
      </c>
    </row>
    <row r="105" spans="1:8" x14ac:dyDescent="0.25">
      <c r="A105" s="5" t="s">
        <v>303</v>
      </c>
      <c r="B105" s="5" t="s">
        <v>304</v>
      </c>
      <c r="C105" s="5" t="s">
        <v>169</v>
      </c>
      <c r="D105" s="5">
        <v>19</v>
      </c>
      <c r="E105" s="6">
        <v>28744.89</v>
      </c>
      <c r="F105" s="7">
        <f t="shared" si="2"/>
        <v>4024.2846000000004</v>
      </c>
      <c r="G105" s="7">
        <f t="shared" si="3"/>
        <v>32769.174599999998</v>
      </c>
      <c r="H105" s="8" t="s">
        <v>305</v>
      </c>
    </row>
    <row r="106" spans="1:8" x14ac:dyDescent="0.25">
      <c r="A106" s="5" t="s">
        <v>306</v>
      </c>
      <c r="B106" s="5" t="s">
        <v>307</v>
      </c>
      <c r="C106" s="5" t="s">
        <v>169</v>
      </c>
      <c r="D106" s="5">
        <v>170</v>
      </c>
      <c r="E106" s="6">
        <v>17062.29</v>
      </c>
      <c r="F106" s="7">
        <f t="shared" si="2"/>
        <v>2388.7206000000006</v>
      </c>
      <c r="G106" s="7">
        <f t="shared" si="3"/>
        <v>19451.010600000001</v>
      </c>
      <c r="H106" s="8" t="s">
        <v>308</v>
      </c>
    </row>
    <row r="107" spans="1:8" x14ac:dyDescent="0.25">
      <c r="A107" s="5" t="s">
        <v>309</v>
      </c>
      <c r="B107" s="5" t="s">
        <v>310</v>
      </c>
      <c r="C107" s="5" t="s">
        <v>169</v>
      </c>
      <c r="D107" s="5">
        <v>43</v>
      </c>
      <c r="E107" s="6">
        <v>36991.35</v>
      </c>
      <c r="F107" s="7">
        <f t="shared" si="2"/>
        <v>5178.7890000000007</v>
      </c>
      <c r="G107" s="7">
        <f t="shared" si="3"/>
        <v>42170.138999999996</v>
      </c>
      <c r="H107" s="8" t="s">
        <v>313</v>
      </c>
    </row>
    <row r="108" spans="1:8" x14ac:dyDescent="0.25">
      <c r="A108" s="5" t="s">
        <v>311</v>
      </c>
      <c r="B108" s="5" t="s">
        <v>312</v>
      </c>
      <c r="C108" s="5" t="s">
        <v>169</v>
      </c>
      <c r="D108" s="5">
        <v>23</v>
      </c>
      <c r="E108" s="6">
        <v>48060.73</v>
      </c>
      <c r="F108" s="7">
        <f t="shared" si="2"/>
        <v>6728.5022000000008</v>
      </c>
      <c r="G108" s="7">
        <f t="shared" si="3"/>
        <v>54789.232200000006</v>
      </c>
      <c r="H108" s="8" t="s">
        <v>314</v>
      </c>
    </row>
    <row r="109" spans="1:8" x14ac:dyDescent="0.25">
      <c r="A109" s="5" t="s">
        <v>315</v>
      </c>
      <c r="B109" s="5" t="s">
        <v>316</v>
      </c>
      <c r="C109" s="5" t="s">
        <v>169</v>
      </c>
      <c r="D109" s="5">
        <v>76</v>
      </c>
      <c r="E109" s="6">
        <v>4317.7299999999996</v>
      </c>
      <c r="F109" s="7">
        <f t="shared" si="2"/>
        <v>604.48220000000003</v>
      </c>
      <c r="G109" s="7">
        <f t="shared" si="3"/>
        <v>4922.2121999999999</v>
      </c>
      <c r="H109" s="8" t="s">
        <v>319</v>
      </c>
    </row>
    <row r="110" spans="1:8" x14ac:dyDescent="0.25">
      <c r="A110" s="5" t="s">
        <v>317</v>
      </c>
      <c r="B110" s="5" t="s">
        <v>318</v>
      </c>
      <c r="C110" s="5" t="s">
        <v>169</v>
      </c>
      <c r="D110" s="5">
        <v>82</v>
      </c>
      <c r="E110" s="6">
        <v>4317.7299999999996</v>
      </c>
      <c r="F110" s="7">
        <f t="shared" si="2"/>
        <v>604.48220000000003</v>
      </c>
      <c r="G110" s="7">
        <f t="shared" si="3"/>
        <v>4922.2121999999999</v>
      </c>
      <c r="H110" s="8" t="s">
        <v>320</v>
      </c>
    </row>
    <row r="111" spans="1:8" x14ac:dyDescent="0.25">
      <c r="A111" s="5" t="s">
        <v>321</v>
      </c>
      <c r="B111" s="5" t="s">
        <v>322</v>
      </c>
      <c r="C111" s="5" t="s">
        <v>169</v>
      </c>
      <c r="D111" s="5">
        <v>41</v>
      </c>
      <c r="E111" s="6">
        <v>5263.7943800000003</v>
      </c>
      <c r="F111" s="7">
        <f t="shared" si="2"/>
        <v>736.93121320000012</v>
      </c>
      <c r="G111" s="7">
        <f t="shared" si="3"/>
        <v>6000.7255932000007</v>
      </c>
      <c r="H111" s="8" t="s">
        <v>325</v>
      </c>
    </row>
    <row r="112" spans="1:8" x14ac:dyDescent="0.25">
      <c r="A112" s="5" t="s">
        <v>323</v>
      </c>
      <c r="B112" s="5" t="s">
        <v>324</v>
      </c>
      <c r="C112" s="5" t="s">
        <v>169</v>
      </c>
      <c r="D112" s="5">
        <v>27</v>
      </c>
      <c r="E112" s="6">
        <v>6443.39</v>
      </c>
      <c r="F112" s="7">
        <f t="shared" si="2"/>
        <v>902.07460000000015</v>
      </c>
      <c r="G112" s="7">
        <f t="shared" si="3"/>
        <v>7345.4646000000002</v>
      </c>
      <c r="H112" s="8" t="s">
        <v>326</v>
      </c>
    </row>
    <row r="113" spans="1:8" x14ac:dyDescent="0.25">
      <c r="A113" s="5" t="s">
        <v>327</v>
      </c>
      <c r="B113" s="5" t="s">
        <v>328</v>
      </c>
      <c r="C113" s="5" t="s">
        <v>169</v>
      </c>
      <c r="D113" s="5">
        <v>244</v>
      </c>
      <c r="E113" s="6">
        <v>7356.2343799999999</v>
      </c>
      <c r="F113" s="7">
        <f t="shared" si="2"/>
        <v>1029.8728132000001</v>
      </c>
      <c r="G113" s="7">
        <f t="shared" si="3"/>
        <v>8386.1071931999995</v>
      </c>
      <c r="H113" s="8" t="s">
        <v>329</v>
      </c>
    </row>
    <row r="114" spans="1:8" x14ac:dyDescent="0.25">
      <c r="A114" s="5" t="s">
        <v>330</v>
      </c>
      <c r="B114" s="5" t="s">
        <v>331</v>
      </c>
      <c r="C114" s="5" t="s">
        <v>169</v>
      </c>
      <c r="D114" s="5">
        <v>29</v>
      </c>
      <c r="E114" s="6">
        <v>3620.25</v>
      </c>
      <c r="F114" s="7">
        <f t="shared" si="2"/>
        <v>506.83500000000004</v>
      </c>
      <c r="G114" s="7">
        <f t="shared" si="3"/>
        <v>4127.085</v>
      </c>
      <c r="H114" s="8" t="s">
        <v>332</v>
      </c>
    </row>
    <row r="115" spans="1:8" x14ac:dyDescent="0.25">
      <c r="A115" s="5" t="s">
        <v>333</v>
      </c>
      <c r="B115" s="5" t="s">
        <v>334</v>
      </c>
      <c r="C115" s="5" t="s">
        <v>169</v>
      </c>
      <c r="D115" s="5">
        <v>6</v>
      </c>
      <c r="E115" s="6">
        <v>5175.4399999999996</v>
      </c>
      <c r="F115" s="7">
        <f t="shared" si="2"/>
        <v>724.5616</v>
      </c>
      <c r="G115" s="7">
        <f t="shared" si="3"/>
        <v>5900.0015999999996</v>
      </c>
      <c r="H115" s="8" t="s">
        <v>335</v>
      </c>
    </row>
    <row r="116" spans="1:8" x14ac:dyDescent="0.25">
      <c r="A116" s="5" t="s">
        <v>336</v>
      </c>
      <c r="B116" s="5" t="s">
        <v>337</v>
      </c>
      <c r="C116" s="5" t="s">
        <v>169</v>
      </c>
      <c r="D116" s="5">
        <v>7</v>
      </c>
      <c r="E116" s="6">
        <v>164276.97398000001</v>
      </c>
      <c r="F116" s="7">
        <f t="shared" si="2"/>
        <v>22998.776357200004</v>
      </c>
      <c r="G116" s="7">
        <f t="shared" si="3"/>
        <v>187275.75033720001</v>
      </c>
      <c r="H116" s="8" t="s">
        <v>342</v>
      </c>
    </row>
    <row r="117" spans="1:8" x14ac:dyDescent="0.25">
      <c r="A117" s="5" t="s">
        <v>338</v>
      </c>
      <c r="B117" s="5" t="s">
        <v>339</v>
      </c>
      <c r="C117" s="5" t="s">
        <v>169</v>
      </c>
      <c r="D117" s="5">
        <v>9</v>
      </c>
      <c r="E117" s="6">
        <v>195904.7</v>
      </c>
      <c r="F117" s="7">
        <f t="shared" si="2"/>
        <v>27426.658000000003</v>
      </c>
      <c r="G117" s="7">
        <f t="shared" si="3"/>
        <v>223331.35800000001</v>
      </c>
      <c r="H117" s="8" t="s">
        <v>343</v>
      </c>
    </row>
    <row r="118" spans="1:8" x14ac:dyDescent="0.25">
      <c r="A118" s="5" t="s">
        <v>340</v>
      </c>
      <c r="B118" s="5" t="s">
        <v>341</v>
      </c>
      <c r="C118" s="5" t="s">
        <v>169</v>
      </c>
      <c r="D118" s="5">
        <v>8</v>
      </c>
      <c r="E118" s="6">
        <v>254228.12100000001</v>
      </c>
      <c r="F118" s="7">
        <f t="shared" si="2"/>
        <v>35591.936940000007</v>
      </c>
      <c r="G118" s="7">
        <f t="shared" si="3"/>
        <v>289820.05794000003</v>
      </c>
      <c r="H118" s="8" t="s">
        <v>344</v>
      </c>
    </row>
    <row r="119" spans="1:8" x14ac:dyDescent="0.25">
      <c r="A119" s="9" t="s">
        <v>346</v>
      </c>
      <c r="B119" s="5" t="s">
        <v>347</v>
      </c>
      <c r="C119" s="5" t="s">
        <v>345</v>
      </c>
      <c r="D119" s="5">
        <v>45</v>
      </c>
      <c r="E119" s="6">
        <v>14847.44968</v>
      </c>
      <c r="F119" s="7">
        <f t="shared" si="2"/>
        <v>2078.6429552</v>
      </c>
      <c r="G119" s="7">
        <f t="shared" si="3"/>
        <v>16926.092635199999</v>
      </c>
      <c r="H119" s="8" t="s">
        <v>382</v>
      </c>
    </row>
    <row r="120" spans="1:8" x14ac:dyDescent="0.25">
      <c r="A120" s="9" t="s">
        <v>348</v>
      </c>
      <c r="B120" s="5" t="s">
        <v>349</v>
      </c>
      <c r="C120" s="5" t="s">
        <v>345</v>
      </c>
      <c r="D120" s="5">
        <v>40</v>
      </c>
      <c r="E120" s="6">
        <v>16683.84477</v>
      </c>
      <c r="F120" s="7">
        <f t="shared" si="2"/>
        <v>2335.7382678000004</v>
      </c>
      <c r="G120" s="7">
        <f t="shared" si="3"/>
        <v>19019.583037799999</v>
      </c>
      <c r="H120" s="8" t="s">
        <v>383</v>
      </c>
    </row>
    <row r="121" spans="1:8" x14ac:dyDescent="0.25">
      <c r="A121" s="9" t="s">
        <v>350</v>
      </c>
      <c r="B121" s="5" t="s">
        <v>351</v>
      </c>
      <c r="C121" s="5" t="s">
        <v>345</v>
      </c>
      <c r="D121" s="5">
        <v>50</v>
      </c>
      <c r="E121" s="6">
        <v>20571.53225</v>
      </c>
      <c r="F121" s="7">
        <f t="shared" si="2"/>
        <v>2880.0145150000003</v>
      </c>
      <c r="G121" s="7">
        <f t="shared" si="3"/>
        <v>23451.546764999999</v>
      </c>
      <c r="H121" s="8" t="s">
        <v>384</v>
      </c>
    </row>
    <row r="122" spans="1:8" x14ac:dyDescent="0.25">
      <c r="A122" s="9" t="s">
        <v>352</v>
      </c>
      <c r="B122" s="5" t="s">
        <v>353</v>
      </c>
      <c r="C122" s="5" t="s">
        <v>345</v>
      </c>
      <c r="D122" s="5">
        <v>10</v>
      </c>
      <c r="E122" s="6">
        <v>23111.227589999999</v>
      </c>
      <c r="F122" s="7">
        <f t="shared" si="2"/>
        <v>3235.5718626000003</v>
      </c>
      <c r="G122" s="7">
        <f t="shared" si="3"/>
        <v>26346.7994526</v>
      </c>
      <c r="H122" s="8" t="s">
        <v>385</v>
      </c>
    </row>
    <row r="123" spans="1:8" x14ac:dyDescent="0.25">
      <c r="A123" s="9" t="s">
        <v>354</v>
      </c>
      <c r="B123" s="5" t="s">
        <v>355</v>
      </c>
      <c r="C123" s="5" t="s">
        <v>345</v>
      </c>
      <c r="D123" s="5">
        <v>4</v>
      </c>
      <c r="E123" s="6">
        <v>80312.981100000005</v>
      </c>
      <c r="F123" s="7">
        <f t="shared" si="2"/>
        <v>11243.817354000003</v>
      </c>
      <c r="G123" s="7">
        <f t="shared" si="3"/>
        <v>91556.798454000003</v>
      </c>
      <c r="H123" s="8" t="s">
        <v>386</v>
      </c>
    </row>
    <row r="124" spans="1:8" x14ac:dyDescent="0.25">
      <c r="A124" s="9" t="s">
        <v>356</v>
      </c>
      <c r="B124" s="5" t="s">
        <v>357</v>
      </c>
      <c r="C124" s="5" t="s">
        <v>345</v>
      </c>
      <c r="D124" s="5">
        <v>13</v>
      </c>
      <c r="E124" s="6">
        <v>110633.03623</v>
      </c>
      <c r="F124" s="7">
        <f t="shared" si="2"/>
        <v>15488.6250722</v>
      </c>
      <c r="G124" s="7">
        <f t="shared" si="3"/>
        <v>126121.66130219999</v>
      </c>
      <c r="H124" s="8" t="s">
        <v>387</v>
      </c>
    </row>
    <row r="125" spans="1:8" x14ac:dyDescent="0.25">
      <c r="A125" s="9" t="s">
        <v>358</v>
      </c>
      <c r="B125" s="5" t="s">
        <v>359</v>
      </c>
      <c r="C125" s="5" t="s">
        <v>345</v>
      </c>
      <c r="D125" s="5">
        <v>18</v>
      </c>
      <c r="E125" s="6">
        <v>26334.68706</v>
      </c>
      <c r="F125" s="7">
        <f t="shared" si="2"/>
        <v>3686.8561884000005</v>
      </c>
      <c r="G125" s="7">
        <f t="shared" si="3"/>
        <v>30021.543248400001</v>
      </c>
      <c r="H125" s="8" t="s">
        <v>388</v>
      </c>
    </row>
    <row r="126" spans="1:8" x14ac:dyDescent="0.25">
      <c r="A126" s="9" t="s">
        <v>360</v>
      </c>
      <c r="B126" s="5" t="s">
        <v>361</v>
      </c>
      <c r="C126" s="5" t="s">
        <v>345</v>
      </c>
      <c r="D126" s="5">
        <v>46</v>
      </c>
      <c r="E126" s="6">
        <v>55931.905830000003</v>
      </c>
      <c r="F126" s="7">
        <f t="shared" si="2"/>
        <v>7830.4668162000016</v>
      </c>
      <c r="G126" s="7">
        <f t="shared" si="3"/>
        <v>63762.372646200005</v>
      </c>
      <c r="H126" s="8" t="s">
        <v>389</v>
      </c>
    </row>
    <row r="127" spans="1:8" x14ac:dyDescent="0.25">
      <c r="A127" s="9" t="s">
        <v>362</v>
      </c>
      <c r="B127" s="5" t="s">
        <v>363</v>
      </c>
      <c r="C127" s="5" t="s">
        <v>345</v>
      </c>
      <c r="D127" s="5">
        <v>26</v>
      </c>
      <c r="E127" s="6">
        <v>124405.99941999999</v>
      </c>
      <c r="F127" s="7">
        <f t="shared" si="2"/>
        <v>17416.8399188</v>
      </c>
      <c r="G127" s="7">
        <f t="shared" si="3"/>
        <v>141822.8393388</v>
      </c>
      <c r="H127" s="8" t="s">
        <v>390</v>
      </c>
    </row>
    <row r="128" spans="1:8" x14ac:dyDescent="0.25">
      <c r="A128" s="9" t="s">
        <v>364</v>
      </c>
      <c r="B128" s="5" t="s">
        <v>365</v>
      </c>
      <c r="C128" s="5" t="s">
        <v>345</v>
      </c>
      <c r="D128" s="5">
        <v>2</v>
      </c>
      <c r="E128" s="6">
        <v>86623.147209999996</v>
      </c>
      <c r="F128" s="7">
        <f t="shared" si="2"/>
        <v>12127.2406094</v>
      </c>
      <c r="G128" s="7">
        <f t="shared" si="3"/>
        <v>98750.387819399999</v>
      </c>
      <c r="H128" s="8" t="s">
        <v>391</v>
      </c>
    </row>
    <row r="129" spans="1:8" x14ac:dyDescent="0.25">
      <c r="A129" s="9" t="s">
        <v>366</v>
      </c>
      <c r="B129" s="5" t="s">
        <v>367</v>
      </c>
      <c r="C129" s="5" t="s">
        <v>345</v>
      </c>
      <c r="D129" s="5">
        <v>1</v>
      </c>
      <c r="E129" s="6">
        <v>94007.79982</v>
      </c>
      <c r="F129" s="7">
        <f t="shared" si="2"/>
        <v>13161.091974800001</v>
      </c>
      <c r="G129" s="7">
        <f t="shared" si="3"/>
        <v>107168.8917948</v>
      </c>
      <c r="H129" s="8" t="s">
        <v>392</v>
      </c>
    </row>
    <row r="130" spans="1:8" x14ac:dyDescent="0.25">
      <c r="A130" s="9" t="s">
        <v>368</v>
      </c>
      <c r="B130" s="5" t="s">
        <v>369</v>
      </c>
      <c r="C130" s="5" t="s">
        <v>345</v>
      </c>
      <c r="D130" s="5">
        <v>10</v>
      </c>
      <c r="E130" s="6">
        <v>39580.175069999998</v>
      </c>
      <c r="F130" s="7">
        <f t="shared" si="2"/>
        <v>5541.2245098000003</v>
      </c>
      <c r="G130" s="7">
        <f t="shared" si="3"/>
        <v>45121.399579799996</v>
      </c>
      <c r="H130" s="8" t="s">
        <v>393</v>
      </c>
    </row>
    <row r="131" spans="1:8" x14ac:dyDescent="0.25">
      <c r="A131" s="9" t="s">
        <v>370</v>
      </c>
      <c r="B131" s="5" t="s">
        <v>371</v>
      </c>
      <c r="C131" s="5" t="s">
        <v>345</v>
      </c>
      <c r="D131" s="5">
        <v>3</v>
      </c>
      <c r="E131" s="6">
        <v>66071.151079999996</v>
      </c>
      <c r="F131" s="7">
        <f t="shared" si="2"/>
        <v>9249.961151200001</v>
      </c>
      <c r="G131" s="7">
        <f t="shared" si="3"/>
        <v>75321.112231199993</v>
      </c>
      <c r="H131" s="8" t="s">
        <v>394</v>
      </c>
    </row>
    <row r="132" spans="1:8" x14ac:dyDescent="0.25">
      <c r="A132" s="9" t="s">
        <v>372</v>
      </c>
      <c r="B132" s="5" t="s">
        <v>373</v>
      </c>
      <c r="C132" s="5" t="s">
        <v>345</v>
      </c>
      <c r="D132" s="5">
        <v>3</v>
      </c>
      <c r="E132" s="6">
        <v>72225.028250000003</v>
      </c>
      <c r="F132" s="7">
        <f t="shared" si="2"/>
        <v>10111.503955000002</v>
      </c>
      <c r="G132" s="7">
        <f t="shared" si="3"/>
        <v>82336.53220500001</v>
      </c>
      <c r="H132" s="8" t="s">
        <v>395</v>
      </c>
    </row>
    <row r="133" spans="1:8" x14ac:dyDescent="0.25">
      <c r="A133" s="9" t="s">
        <v>374</v>
      </c>
      <c r="B133" s="5" t="s">
        <v>375</v>
      </c>
      <c r="C133" s="5" t="s">
        <v>345</v>
      </c>
      <c r="D133" s="5">
        <v>4</v>
      </c>
      <c r="E133" s="6">
        <v>92542.590970000005</v>
      </c>
      <c r="F133" s="7">
        <f t="shared" si="2"/>
        <v>12955.962735800002</v>
      </c>
      <c r="G133" s="7">
        <f t="shared" si="3"/>
        <v>105498.5537058</v>
      </c>
      <c r="H133" s="8" t="s">
        <v>396</v>
      </c>
    </row>
    <row r="134" spans="1:8" x14ac:dyDescent="0.25">
      <c r="A134" s="9" t="s">
        <v>376</v>
      </c>
      <c r="B134" s="5" t="s">
        <v>377</v>
      </c>
      <c r="C134" s="5" t="s">
        <v>345</v>
      </c>
      <c r="D134" s="5">
        <v>8</v>
      </c>
      <c r="E134" s="6">
        <v>45538.691059999997</v>
      </c>
      <c r="F134" s="7">
        <f t="shared" si="2"/>
        <v>6375.4167484</v>
      </c>
      <c r="G134" s="7">
        <f t="shared" si="3"/>
        <v>51914.107808399996</v>
      </c>
      <c r="H134" s="8" t="s">
        <v>397</v>
      </c>
    </row>
    <row r="135" spans="1:8" x14ac:dyDescent="0.25">
      <c r="A135" s="9" t="s">
        <v>378</v>
      </c>
      <c r="B135" s="5" t="s">
        <v>379</v>
      </c>
      <c r="C135" s="5" t="s">
        <v>345</v>
      </c>
      <c r="D135" s="5">
        <v>8</v>
      </c>
      <c r="E135" s="6">
        <v>80488.806159999993</v>
      </c>
      <c r="F135" s="7">
        <f t="shared" si="2"/>
        <v>11268.432862400001</v>
      </c>
      <c r="G135" s="7">
        <f t="shared" si="3"/>
        <v>91757.239022399997</v>
      </c>
      <c r="H135" s="8" t="s">
        <v>398</v>
      </c>
    </row>
    <row r="136" spans="1:8" x14ac:dyDescent="0.25">
      <c r="A136" s="9" t="s">
        <v>380</v>
      </c>
      <c r="B136" s="5" t="s">
        <v>381</v>
      </c>
      <c r="C136" s="5" t="s">
        <v>345</v>
      </c>
      <c r="D136" s="5">
        <v>4</v>
      </c>
      <c r="E136" s="6">
        <v>28796.237929999999</v>
      </c>
      <c r="F136" s="7">
        <f t="shared" si="2"/>
        <v>4031.4733102000005</v>
      </c>
      <c r="G136" s="7">
        <f t="shared" si="3"/>
        <v>32827.711240199998</v>
      </c>
      <c r="H136" s="8" t="s">
        <v>399</v>
      </c>
    </row>
    <row r="137" spans="1:8" x14ac:dyDescent="0.25">
      <c r="A137" s="9" t="s">
        <v>400</v>
      </c>
      <c r="B137" s="5" t="s">
        <v>401</v>
      </c>
      <c r="C137" s="5" t="s">
        <v>345</v>
      </c>
      <c r="D137" s="5">
        <v>27</v>
      </c>
      <c r="E137" s="6">
        <v>68845.279829999999</v>
      </c>
      <c r="F137" s="7">
        <f t="shared" si="2"/>
        <v>9638.339176200001</v>
      </c>
      <c r="G137" s="7">
        <f t="shared" si="3"/>
        <v>78483.619006199995</v>
      </c>
      <c r="H137" s="8" t="s">
        <v>402</v>
      </c>
    </row>
    <row r="138" spans="1:8" x14ac:dyDescent="0.25">
      <c r="A138" s="5" t="s">
        <v>405</v>
      </c>
      <c r="B138" s="5" t="s">
        <v>404</v>
      </c>
      <c r="C138" s="5" t="s">
        <v>403</v>
      </c>
      <c r="D138" s="5">
        <v>100</v>
      </c>
      <c r="E138" s="6">
        <v>365679.82</v>
      </c>
      <c r="F138" s="7">
        <f t="shared" ref="F138:F141" si="4">E138*0.14</f>
        <v>51195.174800000008</v>
      </c>
      <c r="G138" s="7">
        <f t="shared" ref="G138:G141" si="5">SUM(E138:F138)</f>
        <v>416874.99479999999</v>
      </c>
      <c r="H138" s="8"/>
    </row>
    <row r="139" spans="1:8" x14ac:dyDescent="0.25">
      <c r="A139" s="5" t="s">
        <v>406</v>
      </c>
      <c r="B139" s="5" t="s">
        <v>407</v>
      </c>
      <c r="C139" s="5" t="s">
        <v>403</v>
      </c>
      <c r="D139" s="5">
        <v>100</v>
      </c>
      <c r="E139" s="6">
        <v>416118.42</v>
      </c>
      <c r="F139" s="7">
        <f t="shared" si="4"/>
        <v>58256.578800000003</v>
      </c>
      <c r="G139" s="7">
        <f t="shared" si="5"/>
        <v>474374.9988</v>
      </c>
      <c r="H139" s="8"/>
    </row>
    <row r="140" spans="1:8" x14ac:dyDescent="0.25">
      <c r="A140" s="5" t="s">
        <v>409</v>
      </c>
      <c r="B140" s="5" t="s">
        <v>408</v>
      </c>
      <c r="C140" s="5" t="s">
        <v>403</v>
      </c>
      <c r="D140" s="5">
        <v>100</v>
      </c>
      <c r="E140" s="6">
        <v>567434.19999999995</v>
      </c>
      <c r="F140" s="7">
        <f t="shared" si="4"/>
        <v>79440.788</v>
      </c>
      <c r="G140" s="7">
        <f t="shared" si="5"/>
        <v>646874.9879999999</v>
      </c>
      <c r="H140" s="8"/>
    </row>
    <row r="141" spans="1:8" x14ac:dyDescent="0.25">
      <c r="A141" s="5" t="s">
        <v>410</v>
      </c>
      <c r="B141" s="5" t="s">
        <v>411</v>
      </c>
      <c r="C141" s="5" t="s">
        <v>403</v>
      </c>
      <c r="D141" s="5">
        <v>100</v>
      </c>
      <c r="E141" s="6">
        <v>706140.35</v>
      </c>
      <c r="F141" s="7">
        <f t="shared" si="4"/>
        <v>98859.649000000005</v>
      </c>
      <c r="G141" s="7">
        <f t="shared" si="5"/>
        <v>804999.99899999995</v>
      </c>
      <c r="H141" s="8"/>
    </row>
  </sheetData>
  <autoFilter ref="A8:H137" xr:uid="{F060E457-8693-4010-B35A-0EC43F2BC36E}"/>
  <hyperlinks>
    <hyperlink ref="C3" r:id="rId1" xr:uid="{50DC6494-3F88-40DF-901A-2B197D75A2C3}"/>
    <hyperlink ref="C4" r:id="rId2" xr:uid="{514C2C8F-8F55-499A-A592-E9A30E9F549E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Márcio Charata</dc:creator>
  <cp:lastModifiedBy>Márcio Charata</cp:lastModifiedBy>
  <dcterms:created xsi:type="dcterms:W3CDTF">2025-09-17T10:07:14Z</dcterms:created>
  <dcterms:modified xsi:type="dcterms:W3CDTF">2025-09-17T10:35:26Z</dcterms:modified>
</cp:coreProperties>
</file>